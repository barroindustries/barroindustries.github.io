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 Records" sheetId="2" state="visible" r:id="rId2"/>
    <sheet xmlns:r="http://schemas.openxmlformats.org/officeDocument/2006/relationships"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₱#,##0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26"/>
    </font>
    <font>
      <name val="Arial"/>
      <b val="1"/>
      <color rgb="00375623"/>
      <sz val="26"/>
    </font>
    <font>
      <name val="Arial"/>
      <b val="1"/>
      <color rgb="00006064"/>
      <sz val="26"/>
    </font>
    <font>
      <name val="Arial"/>
      <b val="1"/>
      <color rgb="007D6608"/>
      <sz val="26"/>
    </font>
    <font>
      <name val="Arial"/>
      <b val="1"/>
      <color rgb="004A235A"/>
      <sz val="2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375623"/>
      <sz val="14"/>
    </font>
    <font>
      <name val="Arial"/>
      <b val="1"/>
      <color rgb="007D6608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b val="1"/>
      <color rgb="004A235A"/>
      <sz val="10"/>
    </font>
    <font>
      <name val="Arial"/>
      <b val="1"/>
      <color rgb="00006064"/>
      <sz val="10"/>
    </font>
    <font>
      <name val="Arial"/>
      <b val="1"/>
      <color rgb="00833C00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4"/>
    </font>
    <font>
      <name val="Arial"/>
      <color rgb="00111111"/>
      <sz val="9"/>
    </font>
    <font>
      <name val="Arial"/>
      <i val="1"/>
      <color rgb="00111111"/>
      <sz val="9"/>
    </font>
    <font>
      <name val="Arial"/>
      <b val="1"/>
      <color rgb="001F3864"/>
      <sz val="10"/>
    </font>
    <font>
      <name val="Arial"/>
      <b val="1"/>
      <color rgb="007D6608"/>
      <sz val="9"/>
    </font>
    <font>
      <name val="Arial"/>
      <i val="1"/>
      <color rgb="00444444"/>
      <sz val="8"/>
    </font>
    <font>
      <name val="Arial"/>
      <i val="1"/>
      <color rgb="00666666"/>
      <sz val="8"/>
    </font>
    <font>
      <name val="Arial"/>
      <i val="1"/>
      <color rgb="00888888"/>
      <sz val="9"/>
    </font>
    <font>
      <name val="Arial"/>
      <b val="1"/>
      <color rgb="004A235A"/>
      <sz val="9"/>
    </font>
    <font>
      <name val="Arial"/>
      <b val="1"/>
      <color rgb="00375623"/>
      <sz val="9"/>
    </font>
    <font>
      <name val="Arial"/>
      <b val="1"/>
      <color rgb="00833C00"/>
      <sz val="9"/>
    </font>
    <font>
      <name val="Arial"/>
      <b val="1"/>
      <color rgb="00006064"/>
      <sz val="9"/>
    </font>
    <font>
      <name val="Arial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8F9FA"/>
      </patternFill>
    </fill>
    <fill>
      <patternFill patternType="solid">
        <fgColor rgb="00375623"/>
      </patternFill>
    </fill>
    <fill>
      <patternFill patternType="solid">
        <fgColor rgb="00006064"/>
      </patternFill>
    </fill>
    <fill>
      <patternFill patternType="solid">
        <fgColor rgb="007D6608"/>
      </patternFill>
    </fill>
    <fill>
      <patternFill patternType="solid">
        <fgColor rgb="004A235A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EAD1DC"/>
      </patternFill>
    </fill>
    <fill>
      <patternFill patternType="solid">
        <fgColor rgb="00FFF3CD"/>
      </patternFill>
    </fill>
    <fill>
      <patternFill patternType="solid">
        <fgColor rgb="00D9F2F5"/>
      </patternFill>
    </fill>
    <fill>
      <patternFill patternType="solid">
        <fgColor rgb="00FCE4D6"/>
      </patternFill>
    </fill>
    <fill>
      <patternFill patternType="solid">
        <fgColor rgb="00FFDCE0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4" fontId="12" fillId="1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center" vertical="center"/>
    </xf>
    <xf numFmtId="165" fontId="15" fillId="12" borderId="2" applyAlignment="1" pivotButton="0" quotePrefix="0" xfId="0">
      <alignment horizontal="center" vertical="center"/>
    </xf>
    <xf numFmtId="166" fontId="14" fillId="12" borderId="2" applyAlignment="1" pivotButton="0" quotePrefix="0" xfId="0">
      <alignment horizontal="right" vertical="center"/>
    </xf>
    <xf numFmtId="0" fontId="15" fillId="12" borderId="2" applyAlignment="1" pivotButton="0" quotePrefix="0" xfId="0">
      <alignment horizontal="left" vertical="center"/>
    </xf>
    <xf numFmtId="0" fontId="16" fillId="13" borderId="2" applyAlignment="1" pivotButton="0" quotePrefix="0" xfId="0">
      <alignment horizontal="left" vertical="center"/>
    </xf>
    <xf numFmtId="0" fontId="13" fillId="14" borderId="2" applyAlignment="1" pivotButton="0" quotePrefix="0" xfId="0">
      <alignment horizontal="left" vertical="center"/>
    </xf>
    <xf numFmtId="0" fontId="17" fillId="15" borderId="2" applyAlignment="1" pivotButton="0" quotePrefix="0" xfId="0">
      <alignment horizontal="left" vertical="center"/>
    </xf>
    <xf numFmtId="0" fontId="18" fillId="16" borderId="2" applyAlignment="1" pivotButton="0" quotePrefix="0" xfId="0">
      <alignment horizontal="left" vertical="center"/>
    </xf>
    <xf numFmtId="0" fontId="19" fillId="10" borderId="2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/>
    </xf>
    <xf numFmtId="0" fontId="2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4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left" vertical="center" wrapText="1"/>
    </xf>
    <xf numFmtId="0" fontId="22" fillId="18" borderId="2" applyAlignment="1" pivotButton="0" quotePrefix="0" xfId="0">
      <alignment horizontal="left" vertical="center"/>
    </xf>
    <xf numFmtId="0" fontId="23" fillId="18" borderId="2" applyAlignment="1" pivotButton="0" quotePrefix="0" xfId="0">
      <alignment horizontal="left" vertical="center"/>
    </xf>
    <xf numFmtId="0" fontId="22" fillId="18" borderId="2" applyAlignment="1" pivotButton="0" quotePrefix="0" xfId="0">
      <alignment horizontal="center" vertical="center"/>
    </xf>
    <xf numFmtId="0" fontId="22" fillId="18" borderId="2" applyAlignment="1" pivotButton="0" quotePrefix="0" xfId="0">
      <alignment horizontal="left" vertical="center" wrapText="1"/>
    </xf>
    <xf numFmtId="166" fontId="24" fillId="18" borderId="2" applyAlignment="1" pivotButton="0" quotePrefix="0" xfId="0">
      <alignment horizontal="right" vertical="center"/>
    </xf>
    <xf numFmtId="0" fontId="25" fillId="11" borderId="2" applyAlignment="1" pivotButton="0" quotePrefix="0" xfId="0">
      <alignment horizontal="center" vertical="center"/>
    </xf>
    <xf numFmtId="0" fontId="26" fillId="18" borderId="2" applyAlignment="1" pivotButton="0" quotePrefix="0" xfId="0">
      <alignment horizontal="left" vertical="center" wrapText="1"/>
    </xf>
    <xf numFmtId="0" fontId="27" fillId="18" borderId="2" applyAlignment="1" pivotButton="0" quotePrefix="0" xfId="0">
      <alignment horizontal="left" vertical="center" wrapText="1"/>
    </xf>
    <xf numFmtId="0" fontId="0" fillId="11" borderId="2" pivotButton="0" quotePrefix="0" xfId="0"/>
    <xf numFmtId="0" fontId="14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22" fillId="9" borderId="2" applyAlignment="1" pivotButton="0" quotePrefix="0" xfId="0">
      <alignment horizontal="left" vertical="center"/>
    </xf>
    <xf numFmtId="0" fontId="23" fillId="9" borderId="2" applyAlignment="1" pivotButton="0" quotePrefix="0" xfId="0">
      <alignment horizontal="left" vertical="center"/>
    </xf>
    <xf numFmtId="0" fontId="22" fillId="9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left" vertical="center" wrapText="1"/>
    </xf>
    <xf numFmtId="166" fontId="24" fillId="9" borderId="2" applyAlignment="1" pivotButton="0" quotePrefix="0" xfId="0">
      <alignment horizontal="right" vertical="center"/>
    </xf>
    <xf numFmtId="0" fontId="26" fillId="9" borderId="2" applyAlignment="1" pivotButton="0" quotePrefix="0" xfId="0">
      <alignment horizontal="left" vertical="center" wrapText="1"/>
    </xf>
    <xf numFmtId="0" fontId="27" fillId="9" borderId="2" applyAlignment="1" pivotButton="0" quotePrefix="0" xfId="0">
      <alignment horizontal="left" vertical="center" wrapText="1"/>
    </xf>
    <xf numFmtId="0" fontId="28" fillId="18" borderId="2" applyAlignment="1" pivotButton="0" quotePrefix="0" xfId="0">
      <alignment horizontal="right" vertical="center"/>
    </xf>
    <xf numFmtId="0" fontId="29" fillId="13" borderId="2" applyAlignment="1" pivotButton="0" quotePrefix="0" xfId="0">
      <alignment horizontal="center" vertical="center"/>
    </xf>
    <xf numFmtId="0" fontId="30" fillId="10" borderId="2" applyAlignment="1" pivotButton="0" quotePrefix="0" xfId="0">
      <alignment horizontal="center" vertical="center"/>
    </xf>
    <xf numFmtId="0" fontId="28" fillId="9" borderId="2" applyAlignment="1" pivotButton="0" quotePrefix="0" xfId="0">
      <alignment horizontal="right" vertical="center"/>
    </xf>
    <xf numFmtId="0" fontId="31" fillId="16" borderId="2" applyAlignment="1" pivotButton="0" quotePrefix="0" xfId="0">
      <alignment horizontal="center" vertical="center"/>
    </xf>
    <xf numFmtId="0" fontId="32" fillId="15" borderId="2" applyAlignment="1" pivotButton="0" quotePrefix="0" xfId="0">
      <alignment horizontal="center" vertical="center"/>
    </xf>
    <xf numFmtId="0" fontId="33" fillId="2" borderId="1" applyAlignment="1" pivotButton="0" quotePrefix="0" xfId="0">
      <alignment horizontal="center" vertical="center"/>
    </xf>
    <xf numFmtId="0" fontId="22" fillId="12" borderId="2" applyAlignment="1" pivotButton="0" quotePrefix="0" xfId="0">
      <alignment horizontal="left" vertical="center"/>
    </xf>
    <xf numFmtId="165" fontId="14" fillId="12" borderId="2" applyAlignment="1" pivotButton="0" quotePrefix="0" xfId="0">
      <alignment horizontal="right" vertical="center"/>
    </xf>
    <xf numFmtId="1" fontId="14" fillId="1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  <col width="20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48" customHeight="1">
      <c r="A1" s="1" t="inlineStr">
        <is>
          <t>BARRO INDUSTRIES — CLIENT RECORDS &amp; ANALYTICS TRACKER</t>
        </is>
      </c>
    </row>
    <row r="2" ht="20" customHeight="1">
      <c r="A2" s="2" t="inlineStr">
        <is>
          <t>Kitchen Equipment &amp; Fabrication  |  As of June 16, 2026  |  All amounts in Philippine Peso (₱)</t>
        </is>
      </c>
    </row>
    <row r="3" ht="10" customHeight="1"/>
    <row r="4" ht="34" customHeight="1">
      <c r="B4" s="3" t="inlineStr">
        <is>
          <t>TOTAL
CLIENTS</t>
        </is>
      </c>
      <c r="D4" s="4" t="inlineStr">
        <is>
          <t>COMPLETED</t>
        </is>
      </c>
      <c r="F4" s="5" t="inlineStr">
        <is>
          <t>WON /
ONGOING</t>
        </is>
      </c>
      <c r="H4" s="6" t="inlineStr">
        <is>
          <t>QUOTATION
SENT</t>
        </is>
      </c>
      <c r="J4" s="7" t="inlineStr">
        <is>
          <t>DESIGN
STAGE</t>
        </is>
      </c>
    </row>
    <row r="5" ht="50" customHeight="1">
      <c r="B5" s="8">
        <f>COUNTA('Client Records'!A3:A200)</f>
        <v/>
      </c>
      <c r="D5" s="9">
        <f>COUNTIF('Client Records'!I3:I200,"Completed")</f>
        <v/>
      </c>
      <c r="F5" s="10">
        <f>COUNTIF('Client Records'!I3:I200,"Won / Ongoing")+COUNTIF('Client Records'!I3:I200,"Ongoing")</f>
        <v/>
      </c>
      <c r="H5" s="11">
        <f>COUNTIF('Client Records'!I3:I200,"Quotation Sent")+COUNTIF('Client Records'!I3:I200,"Proposal Sent")</f>
        <v/>
      </c>
      <c r="J5" s="12">
        <f>COUNTIF('Client Records'!I3:I200,"Design Stage")</f>
        <v/>
      </c>
    </row>
    <row r="6" ht="14" customHeight="1"/>
    <row r="7" ht="8" customHeight="1">
      <c r="B7" s="13" t="inlineStr"/>
    </row>
    <row r="8" ht="26" customHeight="1">
      <c r="B8" s="14" t="inlineStr">
        <is>
          <t>TOTAL QUOTED PIPELINE VALUE (₱)</t>
        </is>
      </c>
      <c r="F8" s="15">
        <f>SUMIF('Client Records'!I3:I200,"Quotation Sent",'Client Records'!H3:H200)+SUMIF('Client Records'!I3:I200,"Proposal Sent",'Client Records'!H3:H200)+SUMIF('Client Records'!I3:I200,"Design Stage",'Client Records'!H3:H200)</f>
        <v/>
      </c>
    </row>
    <row r="9" ht="26" customHeight="1">
      <c r="B9" s="16" t="inlineStr">
        <is>
          <t>TOTAL WON + COMPLETED VALUE (₱)</t>
        </is>
      </c>
      <c r="F9" s="17">
        <f>SUMIF('Client Records'!I3:I200,"Completed",'Client Records'!H3:H200)+SUMIF('Client Records'!I3:I200,"Won / Ongoing",'Client Records'!H3:H200)+SUMIF('Client Records'!I3:I200,"Ongoing",'Client Records'!H3:H200)</f>
        <v/>
      </c>
    </row>
    <row r="10" ht="10" customHeight="1"/>
    <row r="11" ht="26" customHeight="1">
      <c r="B11" s="18" t="inlineStr">
        <is>
          <t>STATUS BREAKDOWN</t>
        </is>
      </c>
    </row>
    <row r="12" ht="22" customHeight="1">
      <c r="B12" s="19" t="inlineStr">
        <is>
          <t>STATUS</t>
        </is>
      </c>
      <c r="E12" s="20" t="inlineStr">
        <is>
          <t>COUNT</t>
        </is>
      </c>
      <c r="F12" s="20" t="inlineStr">
        <is>
          <t>% SHARE</t>
        </is>
      </c>
      <c r="G12" s="21" t="inlineStr">
        <is>
          <t>TOTAL QUOTED (₱)</t>
        </is>
      </c>
      <c r="J12" s="20" t="inlineStr"/>
    </row>
    <row r="13" ht="20" customHeight="1">
      <c r="B13" s="22" t="inlineStr">
        <is>
          <t>Quotation Sent</t>
        </is>
      </c>
      <c r="E13" s="23">
        <f>COUNTIF('Client Records'!I3:I200,"Quotation Sent")</f>
        <v/>
      </c>
      <c r="F13" s="24">
        <f>IF(E13=0,"-",E13/COUNTA('Client Records'!A3:A200))</f>
        <v/>
      </c>
      <c r="G13" s="25">
        <f>SUMIF('Client Records'!I3:I200,"Quotation Sent",'Client Records'!H3:H200)</f>
        <v/>
      </c>
      <c r="J13" s="26" t="inlineStr"/>
      <c r="K13" s="26" t="inlineStr"/>
    </row>
    <row r="14" ht="20" customHeight="1">
      <c r="B14" s="27" t="inlineStr">
        <is>
          <t>Design Stage</t>
        </is>
      </c>
      <c r="E14" s="23">
        <f>COUNTIF('Client Records'!I3:I200,"Design Stage")</f>
        <v/>
      </c>
      <c r="F14" s="24">
        <f>IF(E14=0,"-",E14/COUNTA('Client Records'!A3:A200))</f>
        <v/>
      </c>
      <c r="G14" s="25">
        <f>SUMIF('Client Records'!I3:I200,"Design Stage",'Client Records'!H3:H200)</f>
        <v/>
      </c>
      <c r="J14" s="26" t="inlineStr"/>
      <c r="K14" s="26" t="inlineStr"/>
    </row>
    <row r="15" ht="20" customHeight="1">
      <c r="B15" s="28" t="inlineStr">
        <is>
          <t>Proposal Sent</t>
        </is>
      </c>
      <c r="E15" s="23">
        <f>COUNTIF('Client Records'!I3:I200,"Proposal Sent")</f>
        <v/>
      </c>
      <c r="F15" s="24">
        <f>IF(E15=0,"-",E15/COUNTA('Client Records'!A3:A200))</f>
        <v/>
      </c>
      <c r="G15" s="25">
        <f>SUMIF('Client Records'!I3:I200,"Proposal Sent",'Client Records'!H3:H200)</f>
        <v/>
      </c>
      <c r="J15" s="26" t="inlineStr"/>
      <c r="K15" s="26" t="inlineStr"/>
    </row>
    <row r="16" ht="20" customHeight="1">
      <c r="B16" s="29" t="inlineStr">
        <is>
          <t>Won / Ongoing</t>
        </is>
      </c>
      <c r="E16" s="23">
        <f>COUNTIF('Client Records'!I3:I200,"Won / Ongoing")</f>
        <v/>
      </c>
      <c r="F16" s="24">
        <f>IF(E16=0,"-",E16/COUNTA('Client Records'!A3:A200))</f>
        <v/>
      </c>
      <c r="G16" s="25">
        <f>SUMIF('Client Records'!I3:I200,"Won / Ongoing",'Client Records'!H3:H200)</f>
        <v/>
      </c>
      <c r="J16" s="26" t="inlineStr"/>
      <c r="K16" s="26" t="inlineStr"/>
    </row>
    <row r="17" ht="20" customHeight="1">
      <c r="B17" s="30" t="inlineStr">
        <is>
          <t>Ongoing</t>
        </is>
      </c>
      <c r="E17" s="23">
        <f>COUNTIF('Client Records'!I3:I200,"Ongoing")</f>
        <v/>
      </c>
      <c r="F17" s="24">
        <f>IF(E17=0,"-",E17/COUNTA('Client Records'!A3:A200))</f>
        <v/>
      </c>
      <c r="G17" s="25">
        <f>SUMIF('Client Records'!I3:I200,"Ongoing",'Client Records'!H3:H200)</f>
        <v/>
      </c>
      <c r="J17" s="26" t="inlineStr"/>
      <c r="K17" s="26" t="inlineStr"/>
    </row>
    <row r="18" ht="20" customHeight="1">
      <c r="B18" s="31" t="inlineStr">
        <is>
          <t>Completed</t>
        </is>
      </c>
      <c r="E18" s="23">
        <f>COUNTIF('Client Records'!I3:I200,"Completed")</f>
        <v/>
      </c>
      <c r="F18" s="24">
        <f>IF(E18=0,"-",E18/COUNTA('Client Records'!A3:A200))</f>
        <v/>
      </c>
      <c r="G18" s="25">
        <f>SUMIF('Client Records'!I3:I200,"Completed",'Client Records'!H3:H200)</f>
        <v/>
      </c>
      <c r="J18" s="26" t="inlineStr"/>
      <c r="K18" s="26" t="inlineStr"/>
    </row>
    <row r="19" ht="20" customHeight="1">
      <c r="B19" s="32" t="inlineStr">
        <is>
          <t>Lost / No Response</t>
        </is>
      </c>
      <c r="E19" s="23">
        <f>COUNTIF('Client Records'!I3:I200,"Lost / No Response")</f>
        <v/>
      </c>
      <c r="F19" s="24">
        <f>IF(E19=0,"-",E19/COUNTA('Client Records'!A3:A200))</f>
        <v/>
      </c>
      <c r="G19" s="25">
        <f>SUMIF('Client Records'!I3:I200,"Lost / No Response",'Client Records'!H3:H200)</f>
        <v/>
      </c>
      <c r="J19" s="26" t="inlineStr"/>
      <c r="K19" s="26" t="inlineStr"/>
    </row>
    <row r="20" ht="10" customHeight="1"/>
    <row r="21" ht="26" customHeight="1">
      <c r="B21" s="18" t="inlineStr">
        <is>
          <t>SECTOR BREAKDOWN</t>
        </is>
      </c>
    </row>
    <row r="22" ht="22" customHeight="1">
      <c r="B22" s="19" t="inlineStr">
        <is>
          <t>SECTOR</t>
        </is>
      </c>
      <c r="F22" s="20" t="inlineStr">
        <is>
          <t>COUNT</t>
        </is>
      </c>
      <c r="G22" s="20" t="inlineStr">
        <is>
          <t>% SHARE</t>
        </is>
      </c>
      <c r="H22" s="21" t="inlineStr">
        <is>
          <t>TOTAL QUOTED (₱)</t>
        </is>
      </c>
    </row>
    <row r="23" ht="20" customHeight="1">
      <c r="B23" s="33" t="inlineStr">
        <is>
          <t>B2B / Corporate</t>
        </is>
      </c>
      <c r="F23" s="23">
        <f>COUNTIF('Client Records'!C3:C200,"B2B / Corporate")</f>
        <v/>
      </c>
      <c r="G23" s="24">
        <f>IF(F23=0,"-",F23/COUNTA('Client Records'!A3:A200))</f>
        <v/>
      </c>
      <c r="H23" s="25">
        <f>SUMIF('Client Records'!C3:C200,"B2B / Corporate",'Client Records'!H3:H200)</f>
        <v/>
      </c>
      <c r="K23" s="26" t="inlineStr"/>
    </row>
    <row r="24" ht="20" customHeight="1">
      <c r="B24" s="34" t="inlineStr">
        <is>
          <t>Bakery</t>
        </is>
      </c>
      <c r="F24" s="23">
        <f>COUNTIF('Client Records'!C3:C200,"Bakery")</f>
        <v/>
      </c>
      <c r="G24" s="24">
        <f>IF(F24=0,"-",F24/COUNTA('Client Records'!A3:A200))</f>
        <v/>
      </c>
      <c r="H24" s="25">
        <f>SUMIF('Client Records'!C3:C200,"Bakery",'Client Records'!H3:H200)</f>
        <v/>
      </c>
      <c r="K24" s="26" t="inlineStr"/>
    </row>
    <row r="25" ht="20" customHeight="1">
      <c r="B25" s="33" t="inlineStr">
        <is>
          <t>Café</t>
        </is>
      </c>
      <c r="F25" s="23">
        <f>COUNTIF('Client Records'!C3:C200,"Café")</f>
        <v/>
      </c>
      <c r="G25" s="24">
        <f>IF(F25=0,"-",F25/COUNTA('Client Records'!A3:A200))</f>
        <v/>
      </c>
      <c r="H25" s="25">
        <f>SUMIF('Client Records'!C3:C200,"Café",'Client Records'!H3:H200)</f>
        <v/>
      </c>
      <c r="K25" s="26" t="inlineStr"/>
    </row>
    <row r="26" ht="20" customHeight="1">
      <c r="B26" s="34" t="inlineStr">
        <is>
          <t>Education</t>
        </is>
      </c>
      <c r="F26" s="23">
        <f>COUNTIF('Client Records'!C3:C200,"Education")</f>
        <v/>
      </c>
      <c r="G26" s="24">
        <f>IF(F26=0,"-",F26/COUNTA('Client Records'!A3:A200))</f>
        <v/>
      </c>
      <c r="H26" s="25">
        <f>SUMIF('Client Records'!C3:C200,"Education",'Client Records'!H3:H200)</f>
        <v/>
      </c>
      <c r="K26" s="26" t="inlineStr"/>
    </row>
    <row r="27" ht="20" customHeight="1">
      <c r="B27" s="33" t="inlineStr">
        <is>
          <t>Education / Govt</t>
        </is>
      </c>
      <c r="F27" s="23">
        <f>COUNTIF('Client Records'!C3:C200,"Education / Govt")</f>
        <v/>
      </c>
      <c r="G27" s="24">
        <f>IF(F27=0,"-",F27/COUNTA('Client Records'!A3:A200))</f>
        <v/>
      </c>
      <c r="H27" s="25">
        <f>SUMIF('Client Records'!C3:C200,"Education / Govt",'Client Records'!H3:H200)</f>
        <v/>
      </c>
      <c r="K27" s="26" t="inlineStr"/>
    </row>
    <row r="28" ht="20" customHeight="1">
      <c r="B28" s="34" t="inlineStr">
        <is>
          <t>Food Service</t>
        </is>
      </c>
      <c r="F28" s="23">
        <f>COUNTIF('Client Records'!C3:C200,"Food Service")</f>
        <v/>
      </c>
      <c r="G28" s="24">
        <f>IF(F28=0,"-",F28/COUNTA('Client Records'!A3:A200))</f>
        <v/>
      </c>
      <c r="H28" s="25">
        <f>SUMIF('Client Records'!C3:C200,"Food Service",'Client Records'!H3:H200)</f>
        <v/>
      </c>
      <c r="K28" s="26" t="inlineStr"/>
    </row>
    <row r="29" ht="20" customHeight="1">
      <c r="B29" s="33" t="inlineStr">
        <is>
          <t>Hospital</t>
        </is>
      </c>
      <c r="F29" s="23">
        <f>COUNTIF('Client Records'!C3:C200,"Hospital")</f>
        <v/>
      </c>
      <c r="G29" s="24">
        <f>IF(F29=0,"-",F29/COUNTA('Client Records'!A3:A200))</f>
        <v/>
      </c>
      <c r="H29" s="25">
        <f>SUMIF('Client Records'!C3:C200,"Hospital",'Client Records'!H3:H200)</f>
        <v/>
      </c>
      <c r="K29" s="26" t="inlineStr"/>
    </row>
    <row r="30" ht="20" customHeight="1">
      <c r="B30" s="34" t="inlineStr">
        <is>
          <t>Hospitality</t>
        </is>
      </c>
      <c r="F30" s="23">
        <f>COUNTIF('Client Records'!C3:C200,"Hospitality")</f>
        <v/>
      </c>
      <c r="G30" s="24">
        <f>IF(F30=0,"-",F30/COUNTA('Client Records'!A3:A200))</f>
        <v/>
      </c>
      <c r="H30" s="25">
        <f>SUMIF('Client Records'!C3:C200,"Hospitality",'Client Records'!H3:H200)</f>
        <v/>
      </c>
      <c r="K30" s="26" t="inlineStr"/>
    </row>
    <row r="31" ht="20" customHeight="1">
      <c r="B31" s="33" t="inlineStr">
        <is>
          <t>Institutional</t>
        </is>
      </c>
      <c r="F31" s="23">
        <f>COUNTIF('Client Records'!C3:C200,"Institutional")</f>
        <v/>
      </c>
      <c r="G31" s="24">
        <f>IF(F31=0,"-",F31/COUNTA('Client Records'!A3:A200))</f>
        <v/>
      </c>
      <c r="H31" s="25">
        <f>SUMIF('Client Records'!C3:C200,"Institutional",'Client Records'!H3:H200)</f>
        <v/>
      </c>
      <c r="K31" s="26" t="inlineStr"/>
    </row>
    <row r="32" ht="20" customHeight="1">
      <c r="B32" s="34" t="inlineStr">
        <is>
          <t>Restaurant</t>
        </is>
      </c>
      <c r="F32" s="23">
        <f>COUNTIF('Client Records'!C3:C200,"Restaurant")</f>
        <v/>
      </c>
      <c r="G32" s="24">
        <f>IF(F32=0,"-",F32/COUNTA('Client Records'!A3:A200))</f>
        <v/>
      </c>
      <c r="H32" s="25">
        <f>SUMIF('Client Records'!C3:C200,"Restaurant",'Client Records'!H3:H200)</f>
        <v/>
      </c>
      <c r="K32" s="26" t="inlineStr"/>
    </row>
  </sheetData>
  <mergeCells count="41">
    <mergeCell ref="F4:G4"/>
    <mergeCell ref="H22:K22"/>
    <mergeCell ref="B9:E9"/>
    <mergeCell ref="B14:D14"/>
    <mergeCell ref="J5:K5"/>
    <mergeCell ref="B30:E30"/>
    <mergeCell ref="B17:D17"/>
    <mergeCell ref="B13:D13"/>
    <mergeCell ref="F8:K8"/>
    <mergeCell ref="H4:I4"/>
    <mergeCell ref="B24:E24"/>
    <mergeCell ref="B32:E32"/>
    <mergeCell ref="A2:L2"/>
    <mergeCell ref="B26:E26"/>
    <mergeCell ref="B19:D19"/>
    <mergeCell ref="F5:G5"/>
    <mergeCell ref="B7:K7"/>
    <mergeCell ref="F9:K9"/>
    <mergeCell ref="B25:E25"/>
    <mergeCell ref="B15:D15"/>
    <mergeCell ref="B22:E22"/>
    <mergeCell ref="B31:E31"/>
    <mergeCell ref="J4:K4"/>
    <mergeCell ref="B27:E27"/>
    <mergeCell ref="B21:K21"/>
    <mergeCell ref="D4:E4"/>
    <mergeCell ref="G12:I12"/>
    <mergeCell ref="B11:K11"/>
    <mergeCell ref="B16:D16"/>
    <mergeCell ref="B23:E23"/>
    <mergeCell ref="B8:E8"/>
    <mergeCell ref="J12:K12"/>
    <mergeCell ref="B5:C5"/>
    <mergeCell ref="A1:L1"/>
    <mergeCell ref="D5:E5"/>
    <mergeCell ref="B18:D18"/>
    <mergeCell ref="B29:E29"/>
    <mergeCell ref="H5:I5"/>
    <mergeCell ref="B12:D12"/>
    <mergeCell ref="B28:E2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18" customWidth="1" min="6" max="6"/>
    <col width="14" customWidth="1" min="7" max="7"/>
    <col width="38" customWidth="1" min="8" max="8"/>
    <col width="16" customWidth="1" min="9" max="9"/>
    <col width="16" customWidth="1" min="10" max="10"/>
    <col width="36" customWidth="1" min="11" max="11"/>
    <col width="34" customWidth="1" min="12" max="12"/>
    <col width="13" customWidth="1" min="13" max="13"/>
    <col width="13" customWidth="1" min="14" max="14"/>
  </cols>
  <sheetData>
    <row r="1" ht="38" customHeight="1">
      <c r="A1" s="35" t="inlineStr">
        <is>
          <t>BARRO INDUSTRIES — CLIENT RECORDS</t>
        </is>
      </c>
    </row>
    <row r="2" ht="30" customHeight="1">
      <c r="A2" s="36" t="inlineStr">
        <is>
          <t>#</t>
        </is>
      </c>
      <c r="B2" s="36" t="inlineStr">
        <is>
          <t>Client Name</t>
        </is>
      </c>
      <c r="C2" s="36" t="inlineStr">
        <is>
          <t>Sector</t>
        </is>
      </c>
      <c r="D2" s="36" t="inlineStr">
        <is>
          <t>Location</t>
        </is>
      </c>
      <c r="E2" s="36" t="inlineStr">
        <is>
          <t>Contact / Attention</t>
        </is>
      </c>
      <c r="F2" s="36" t="inlineStr">
        <is>
          <t>Quotation No.</t>
        </is>
      </c>
      <c r="G2" s="36" t="inlineStr">
        <is>
          <t>Date</t>
        </is>
      </c>
      <c r="H2" s="36" t="inlineStr">
        <is>
          <t>Project Title / Subject</t>
        </is>
      </c>
      <c r="I2" s="36" t="inlineStr">
        <is>
          <t>Quoted Amount (₱)</t>
        </is>
      </c>
      <c r="J2" s="36" t="inlineStr">
        <is>
          <t>Status</t>
        </is>
      </c>
      <c r="K2" s="36" t="inlineStr">
        <is>
          <t>Documents on File</t>
        </is>
      </c>
      <c r="L2" s="36" t="inlineStr">
        <is>
          <t>Remarks / Notes</t>
        </is>
      </c>
      <c r="M2" s="36" t="inlineStr">
        <is>
          <t>Date Added</t>
        </is>
      </c>
      <c r="N2" s="36" t="inlineStr">
        <is>
          <t>Last Updated</t>
        </is>
      </c>
    </row>
    <row r="3" ht="32" customHeight="1">
      <c r="A3" s="37" t="n">
        <v>1</v>
      </c>
      <c r="B3" s="38" t="inlineStr">
        <is>
          <t>Aboy Asuncion</t>
        </is>
      </c>
      <c r="C3" s="39" t="inlineStr">
        <is>
          <t>Food Service</t>
        </is>
      </c>
      <c r="D3" s="39" t="inlineStr">
        <is>
          <t>San Juan, La Union</t>
        </is>
      </c>
      <c r="E3" s="40" t="inlineStr">
        <is>
          <t>Mr. Aboy Asuncion</t>
        </is>
      </c>
      <c r="F3" s="41" t="inlineStr">
        <is>
          <t>LUON07022025-1</t>
        </is>
      </c>
      <c r="G3" s="41" t="inlineStr">
        <is>
          <t>July 2, 2025</t>
        </is>
      </c>
      <c r="H3" s="42" t="inlineStr">
        <is>
          <t>Supply &amp; Fabrication of Range Hood and Ducting System</t>
        </is>
      </c>
      <c r="I3" s="43" t="n">
        <v>218500</v>
      </c>
      <c r="J3" s="44" t="inlineStr">
        <is>
          <t>Quotation Sent</t>
        </is>
      </c>
      <c r="K3" s="45" t="inlineStr">
        <is>
          <t>Price Quotation (PDF, JPG)</t>
        </is>
      </c>
      <c r="L3" s="46" t="inlineStr"/>
      <c r="M3" s="47" t="n"/>
      <c r="N3" s="47" t="n"/>
    </row>
    <row r="4" ht="32" customHeight="1">
      <c r="A4" s="48" t="n">
        <v>2</v>
      </c>
      <c r="B4" s="49" t="inlineStr">
        <is>
          <t>Alyssa Flores</t>
        </is>
      </c>
      <c r="C4" s="50" t="inlineStr">
        <is>
          <t>Food Service</t>
        </is>
      </c>
      <c r="D4" s="50" t="inlineStr">
        <is>
          <t>South Pob., Bucay, Abra</t>
        </is>
      </c>
      <c r="E4" s="51" t="inlineStr">
        <is>
          <t>Alyssa Flores</t>
        </is>
      </c>
      <c r="F4" s="52" t="inlineStr">
        <is>
          <t>BNOF04092025-2</t>
        </is>
      </c>
      <c r="G4" s="52" t="inlineStr">
        <is>
          <t>April 9, 2025</t>
        </is>
      </c>
      <c r="H4" s="53" t="inlineStr">
        <is>
          <t>Supply &amp; Fabrication of Kitchen Equipment</t>
        </is>
      </c>
      <c r="I4" s="54" t="n">
        <v>290000</v>
      </c>
      <c r="J4" s="44" t="inlineStr">
        <is>
          <t>Quotation Sent</t>
        </is>
      </c>
      <c r="K4" s="55" t="inlineStr">
        <is>
          <t>Proposal 2025-04-09 (DOCX, PDF)</t>
        </is>
      </c>
      <c r="L4" s="56" t="inlineStr"/>
      <c r="M4" s="47" t="n"/>
      <c r="N4" s="47" t="n"/>
    </row>
    <row r="5" ht="32" customHeight="1">
      <c r="A5" s="37" t="n">
        <v>3</v>
      </c>
      <c r="B5" s="38" t="inlineStr">
        <is>
          <t>Alyssa Marie</t>
        </is>
      </c>
      <c r="C5" s="39" t="inlineStr">
        <is>
          <t>Food Service</t>
        </is>
      </c>
      <c r="D5" s="39" t="inlineStr">
        <is>
          <t>Baguio City</t>
        </is>
      </c>
      <c r="E5" s="40" t="inlineStr">
        <is>
          <t>Alyssa Marie Malasig</t>
        </is>
      </c>
      <c r="F5" s="41" t="inlineStr">
        <is>
          <t>ONBG26032025-01</t>
        </is>
      </c>
      <c r="G5" s="41" t="inlineStr">
        <is>
          <t>March 26, 2025</t>
        </is>
      </c>
      <c r="H5" s="42" t="inlineStr">
        <is>
          <t>Table Framing Fabrication</t>
        </is>
      </c>
      <c r="I5" s="43" t="n">
        <v>18500</v>
      </c>
      <c r="J5" s="44" t="inlineStr">
        <is>
          <t>Quotation Sent</t>
        </is>
      </c>
      <c r="K5" s="45" t="inlineStr">
        <is>
          <t>Price Quotation (DOCX, PDF)</t>
        </is>
      </c>
      <c r="L5" s="46" t="inlineStr"/>
      <c r="M5" s="47" t="n"/>
      <c r="N5" s="47" t="n"/>
    </row>
    <row r="6" ht="32" customHeight="1">
      <c r="A6" s="48" t="n">
        <v>4</v>
      </c>
      <c r="B6" s="49" t="inlineStr">
        <is>
          <t>Andrew Ducas</t>
        </is>
      </c>
      <c r="C6" s="50" t="inlineStr">
        <is>
          <t>Food Service</t>
        </is>
      </c>
      <c r="D6" s="50" t="inlineStr">
        <is>
          <t>Baguio City</t>
        </is>
      </c>
      <c r="E6" s="51" t="inlineStr">
        <is>
          <t>Andrew Ducas</t>
        </is>
      </c>
      <c r="F6" s="52" t="inlineStr">
        <is>
          <t>BGON062025-2</t>
        </is>
      </c>
      <c r="G6" s="52" t="inlineStr">
        <is>
          <t>June 30, 2025</t>
        </is>
      </c>
      <c r="H6" s="53" t="inlineStr">
        <is>
          <t>Supply &amp; Fabrication of Kitchen Equipment</t>
        </is>
      </c>
      <c r="I6" s="54" t="n">
        <v>145000</v>
      </c>
      <c r="J6" s="44" t="inlineStr">
        <is>
          <t>Quotation Sent</t>
        </is>
      </c>
      <c r="K6" s="55" t="inlineStr">
        <is>
          <t>Quotation + Revised Final (multiple versions)</t>
        </is>
      </c>
      <c r="L6" s="56" t="inlineStr">
        <is>
          <t>Multiple revisions; Final version issued</t>
        </is>
      </c>
      <c r="M6" s="47" t="n"/>
      <c r="N6" s="47" t="n"/>
    </row>
    <row r="7" ht="32" customHeight="1">
      <c r="A7" s="37" t="n">
        <v>5</v>
      </c>
      <c r="B7" s="38" t="inlineStr">
        <is>
          <t>Antonino</t>
        </is>
      </c>
      <c r="C7" s="39" t="inlineStr">
        <is>
          <t>Food Service</t>
        </is>
      </c>
      <c r="D7" s="39" t="inlineStr">
        <is>
          <t>Urdaneta City, Pangasinan</t>
        </is>
      </c>
      <c r="E7" s="40" t="inlineStr">
        <is>
          <t>Antonino</t>
        </is>
      </c>
      <c r="F7" s="41" t="inlineStr">
        <is>
          <t>—</t>
        </is>
      </c>
      <c r="G7" s="41" t="inlineStr">
        <is>
          <t>—</t>
        </is>
      </c>
      <c r="H7" s="42" t="inlineStr">
        <is>
          <t>Kitchen Equipment Supply &amp; Fabrication</t>
        </is>
      </c>
      <c r="I7" s="57" t="inlineStr">
        <is>
          <t>See workbook</t>
        </is>
      </c>
      <c r="J7" s="44" t="inlineStr">
        <is>
          <t>Quotation Sent</t>
        </is>
      </c>
      <c r="K7" s="45" t="inlineStr">
        <is>
          <t>Quotation PDF + XLSM</t>
        </is>
      </c>
      <c r="L7" s="46" t="inlineStr">
        <is>
          <t>Amount in XLSM workbook</t>
        </is>
      </c>
      <c r="M7" s="47" t="n"/>
      <c r="N7" s="47" t="n"/>
    </row>
    <row r="8" ht="32" customHeight="1">
      <c r="A8" s="48" t="n">
        <v>6</v>
      </c>
      <c r="B8" s="49" t="inlineStr">
        <is>
          <t>Ar. Kryzia Bea
(Snooze Coffee)</t>
        </is>
      </c>
      <c r="C8" s="50" t="inlineStr">
        <is>
          <t>Café</t>
        </is>
      </c>
      <c r="D8" s="50" t="inlineStr">
        <is>
          <t>Leonardwood, Baguio City</t>
        </is>
      </c>
      <c r="E8" s="51" t="inlineStr">
        <is>
          <t>Ar. Kryzia Bea</t>
        </is>
      </c>
      <c r="F8" s="52" t="inlineStr">
        <is>
          <t>BGON04092025-1</t>
        </is>
      </c>
      <c r="G8" s="52" t="inlineStr">
        <is>
          <t>April 14, 2025</t>
        </is>
      </c>
      <c r="H8" s="53" t="inlineStr">
        <is>
          <t>Supply &amp; Fabrication of Custom Kitchen Setup and Equipment</t>
        </is>
      </c>
      <c r="I8" s="54" t="n">
        <v>595500</v>
      </c>
      <c r="J8" s="58" t="inlineStr">
        <is>
          <t>Design Stage</t>
        </is>
      </c>
      <c r="K8" s="55" t="inlineStr">
        <is>
          <t>Proposal + Floor Plans (13 revisions) + AI Renders</t>
        </is>
      </c>
      <c r="L8" s="56" t="inlineStr">
        <is>
          <t>Detailed kitchen plans; 13 plan revisions on file</t>
        </is>
      </c>
      <c r="M8" s="47" t="n"/>
      <c r="N8" s="47" t="n"/>
    </row>
    <row r="9" ht="32" customHeight="1">
      <c r="A9" s="37" t="n">
        <v>7</v>
      </c>
      <c r="B9" s="38" t="inlineStr">
        <is>
          <t>Ar. Richard</t>
        </is>
      </c>
      <c r="C9" s="39" t="inlineStr">
        <is>
          <t>Food Service</t>
        </is>
      </c>
      <c r="D9" s="39" t="inlineStr">
        <is>
          <t>La Union</t>
        </is>
      </c>
      <c r="E9" s="40" t="inlineStr">
        <is>
          <t>Ar. Richard</t>
        </is>
      </c>
      <c r="F9" s="41" t="inlineStr">
        <is>
          <t>LUON09272401</t>
        </is>
      </c>
      <c r="G9" s="41" t="inlineStr">
        <is>
          <t>Sep 27, 2024</t>
        </is>
      </c>
      <c r="H9" s="42" t="inlineStr">
        <is>
          <t>Fabrication of Kitchen Equipment</t>
        </is>
      </c>
      <c r="I9" s="43" t="n">
        <v>308000</v>
      </c>
      <c r="J9" s="44" t="inlineStr">
        <is>
          <t>Quotation Sent</t>
        </is>
      </c>
      <c r="K9" s="45" t="inlineStr">
        <is>
          <t>Price Quotation (DOCX, PDF) + Built-ins List</t>
        </is>
      </c>
      <c r="L9" s="46" t="inlineStr">
        <is>
          <t>Includes Casa Carmelo 2.0 built-ins reference</t>
        </is>
      </c>
      <c r="M9" s="47" t="n"/>
      <c r="N9" s="47" t="n"/>
    </row>
    <row r="10" ht="32" customHeight="1">
      <c r="A10" s="48" t="n">
        <v>8</v>
      </c>
      <c r="B10" s="49" t="inlineStr">
        <is>
          <t>Arfaz</t>
        </is>
      </c>
      <c r="C10" s="50" t="inlineStr">
        <is>
          <t>Food Service</t>
        </is>
      </c>
      <c r="D10" s="50" t="inlineStr">
        <is>
          <t>Unknown Location</t>
        </is>
      </c>
      <c r="E10" s="51" t="inlineStr">
        <is>
          <t>Arfaz</t>
        </is>
      </c>
      <c r="F10" s="52" t="inlineStr">
        <is>
          <t>FB-ONMN060425-1</t>
        </is>
      </c>
      <c r="G10" s="52" t="inlineStr">
        <is>
          <t>June 4, 2025</t>
        </is>
      </c>
      <c r="H10" s="53" t="inlineStr">
        <is>
          <t>Range Hood and Ducting Fabrication</t>
        </is>
      </c>
      <c r="I10" s="54" t="n">
        <v>78000</v>
      </c>
      <c r="J10" s="44" t="inlineStr">
        <is>
          <t>Quotation Sent</t>
        </is>
      </c>
      <c r="K10" s="55" t="inlineStr">
        <is>
          <t>Price Quotation (DOCX, JPG, PDF)</t>
        </is>
      </c>
      <c r="L10" s="56" t="inlineStr">
        <is>
          <t>Estimated total from line items</t>
        </is>
      </c>
      <c r="M10" s="47" t="n"/>
      <c r="N10" s="47" t="n"/>
    </row>
    <row r="11" ht="32" customHeight="1">
      <c r="A11" s="37" t="n">
        <v>9</v>
      </c>
      <c r="B11" s="38" t="inlineStr">
        <is>
          <t>Bakers Ph</t>
        </is>
      </c>
      <c r="C11" s="39" t="inlineStr">
        <is>
          <t>Bakery</t>
        </is>
      </c>
      <c r="D11" s="39" t="inlineStr">
        <is>
          <t>Brgy 44, Laoag City, IN</t>
        </is>
      </c>
      <c r="E11" s="40" t="inlineStr">
        <is>
          <t>Bakers Ph</t>
        </is>
      </c>
      <c r="F11" s="41" t="inlineStr">
        <is>
          <t>BGON-07182025-1</t>
        </is>
      </c>
      <c r="G11" s="41" t="inlineStr">
        <is>
          <t>July 18, 2025</t>
        </is>
      </c>
      <c r="H11" s="42" t="inlineStr">
        <is>
          <t>SS Preparation Table with Overhead Shelves</t>
        </is>
      </c>
      <c r="I11" s="43" t="n">
        <v>35000</v>
      </c>
      <c r="J11" s="44" t="inlineStr">
        <is>
          <t>Quotation Sent</t>
        </is>
      </c>
      <c r="K11" s="45" t="inlineStr">
        <is>
          <t>Quotation 2025-07-18 (DOCX, PDF)</t>
        </is>
      </c>
      <c r="L11" s="46" t="inlineStr"/>
      <c r="M11" s="47" t="n"/>
      <c r="N11" s="47" t="n"/>
    </row>
    <row r="12" ht="32" customHeight="1">
      <c r="A12" s="48" t="n">
        <v>10</v>
      </c>
      <c r="B12" s="49" t="inlineStr">
        <is>
          <t>Bethany Hospital</t>
        </is>
      </c>
      <c r="C12" s="50" t="inlineStr">
        <is>
          <t>Hospital</t>
        </is>
      </c>
      <c r="D12" s="50" t="inlineStr">
        <is>
          <t>San Fernando, La Union</t>
        </is>
      </c>
      <c r="E12" s="51" t="inlineStr">
        <is>
          <t>Bethany Hospital</t>
        </is>
      </c>
      <c r="F12" s="52" t="inlineStr">
        <is>
          <t>Multiple</t>
        </is>
      </c>
      <c r="G12" s="52" t="inlineStr">
        <is>
          <t>Nov 2024 – Feb 2026</t>
        </is>
      </c>
      <c r="H12" s="53" t="inlineStr">
        <is>
          <t>Hospital Kitchen Equipment, Exhaust, Trolleys, Site Works</t>
        </is>
      </c>
      <c r="I12" s="54" t="n">
        <v>1656300</v>
      </c>
      <c r="J12" s="59" t="inlineStr">
        <is>
          <t>Completed</t>
        </is>
      </c>
      <c r="K12" s="55" t="inlineStr">
        <is>
          <t>Contract + Final Billing Invoice + Multiple Quotations + Job Order + Site Photos</t>
        </is>
      </c>
      <c r="L12" s="56" t="inlineStr">
        <is>
          <t>Contract signed; final billing ₱1,656,300; multiple project phases; repeat billings on file</t>
        </is>
      </c>
      <c r="M12" s="47" t="n"/>
      <c r="N12" s="47" t="n"/>
    </row>
    <row r="13" ht="32" customHeight="1">
      <c r="A13" s="37" t="n">
        <v>11</v>
      </c>
      <c r="B13" s="38" t="inlineStr">
        <is>
          <t>Brilliant Steel Corp.</t>
        </is>
      </c>
      <c r="C13" s="39" t="inlineStr">
        <is>
          <t>B2B / Corporate</t>
        </is>
      </c>
      <c r="D13" s="39" t="inlineStr">
        <is>
          <t>N/A</t>
        </is>
      </c>
      <c r="E13" s="40" t="inlineStr">
        <is>
          <t>Brilliant Steel Corp.</t>
        </is>
      </c>
      <c r="F13" s="41" t="inlineStr">
        <is>
          <t>—</t>
        </is>
      </c>
      <c r="G13" s="41" t="inlineStr">
        <is>
          <t>June 2026</t>
        </is>
      </c>
      <c r="H13" s="42" t="inlineStr">
        <is>
          <t>Product Lineup Fabrication Proposal</t>
        </is>
      </c>
      <c r="I13" s="57" t="inlineStr">
        <is>
          <t>See workbook</t>
        </is>
      </c>
      <c r="J13" s="44" t="inlineStr">
        <is>
          <t>Proposal Sent</t>
        </is>
      </c>
      <c r="K13" s="45" t="inlineStr">
        <is>
          <t>Product Lineup Proposal (DOCX)</t>
        </is>
      </c>
      <c r="L13" s="46" t="inlineStr">
        <is>
          <t>B2B partnership proposal; no amount specified</t>
        </is>
      </c>
      <c r="M13" s="47" t="n"/>
      <c r="N13" s="47" t="n"/>
    </row>
    <row r="14" ht="32" customHeight="1">
      <c r="A14" s="48" t="n">
        <v>12</v>
      </c>
      <c r="B14" s="49" t="inlineStr">
        <is>
          <t>BSBT</t>
        </is>
      </c>
      <c r="C14" s="50" t="inlineStr">
        <is>
          <t>Institutional</t>
        </is>
      </c>
      <c r="D14" s="50" t="inlineStr">
        <is>
          <t>Baguio City</t>
        </is>
      </c>
      <c r="E14" s="51" t="inlineStr">
        <is>
          <t>BSBT</t>
        </is>
      </c>
      <c r="F14" s="52" t="inlineStr">
        <is>
          <t>—</t>
        </is>
      </c>
      <c r="G14" s="52" t="inlineStr">
        <is>
          <t>2025</t>
        </is>
      </c>
      <c r="H14" s="53" t="inlineStr">
        <is>
          <t>Kitchen &amp; Bar Setup Fabrication</t>
        </is>
      </c>
      <c r="I14" s="60" t="inlineStr">
        <is>
          <t>See workbook</t>
        </is>
      </c>
      <c r="J14" s="61" t="inlineStr">
        <is>
          <t>Ongoing</t>
        </is>
      </c>
      <c r="K14" s="55" t="inlineStr">
        <is>
          <t>Quotation + MOA + Kitchen Plans + AutoCAD DWG + Design Files</t>
        </is>
      </c>
      <c r="L14" s="56" t="inlineStr">
        <is>
          <t>MOA signed; detailed DWG kitchen/bar/gym plans</t>
        </is>
      </c>
      <c r="M14" s="47" t="n"/>
      <c r="N14" s="47" t="n"/>
    </row>
    <row r="15" ht="32" customHeight="1">
      <c r="A15" s="37" t="n">
        <v>13</v>
      </c>
      <c r="B15" s="38" t="inlineStr">
        <is>
          <t>BSU</t>
        </is>
      </c>
      <c r="C15" s="39" t="inlineStr">
        <is>
          <t>Education</t>
        </is>
      </c>
      <c r="D15" s="39" t="inlineStr">
        <is>
          <t>La Trinidad, Benguet</t>
        </is>
      </c>
      <c r="E15" s="40" t="inlineStr">
        <is>
          <t>Benguet State Univ.</t>
        </is>
      </c>
      <c r="F15" s="41" t="inlineStr">
        <is>
          <t>RFQ01262026-2</t>
        </is>
      </c>
      <c r="G15" s="41" t="inlineStr">
        <is>
          <t>Jan 26, 2026</t>
        </is>
      </c>
      <c r="H15" s="42" t="inlineStr">
        <is>
          <t>Various Equipment Supply</t>
        </is>
      </c>
      <c r="I15" s="43" t="n">
        <v>106000</v>
      </c>
      <c r="J15" s="44" t="inlineStr">
        <is>
          <t>Quotation Sent</t>
        </is>
      </c>
      <c r="K15" s="45" t="inlineStr">
        <is>
          <t>Quotation (DOCX)</t>
        </is>
      </c>
      <c r="L15" s="46" t="inlineStr"/>
      <c r="M15" s="47" t="n"/>
      <c r="N15" s="47" t="n"/>
    </row>
    <row r="16" ht="32" customHeight="1">
      <c r="A16" s="48" t="n">
        <v>14</v>
      </c>
      <c r="B16" s="49" t="inlineStr">
        <is>
          <t>Candelaria Dist. Hospital</t>
        </is>
      </c>
      <c r="C16" s="50" t="inlineStr">
        <is>
          <t>Hospital</t>
        </is>
      </c>
      <c r="D16" s="50" t="inlineStr">
        <is>
          <t>Zambales</t>
        </is>
      </c>
      <c r="E16" s="51" t="inlineStr">
        <is>
          <t>Candelaria District Hosp.</t>
        </is>
      </c>
      <c r="F16" s="52" t="inlineStr">
        <is>
          <t>—</t>
        </is>
      </c>
      <c r="G16" s="52" t="inlineStr">
        <is>
          <t>2025</t>
        </is>
      </c>
      <c r="H16" s="53" t="inlineStr">
        <is>
          <t>Hospital Kitchen Equipment &amp; Fabrication (3 Sections)</t>
        </is>
      </c>
      <c r="I16" s="54" t="n">
        <v>2292000</v>
      </c>
      <c r="J16" s="44" t="inlineStr">
        <is>
          <t>Quotation Sent</t>
        </is>
      </c>
      <c r="K16" s="55" t="inlineStr">
        <is>
          <t>Proposal + Revised Price Quotation (2 parts DOCX + PDF)</t>
        </is>
      </c>
      <c r="L16" s="56" t="inlineStr">
        <is>
          <t>Full hospital kitchen; 3 sections totaling ₱2,292,000</t>
        </is>
      </c>
      <c r="M16" s="47" t="n"/>
      <c r="N16" s="47" t="n"/>
    </row>
    <row r="17" ht="32" customHeight="1">
      <c r="A17" s="37" t="n">
        <v>15</v>
      </c>
      <c r="B17" s="38" t="inlineStr">
        <is>
          <t>Casa Carmelo</t>
        </is>
      </c>
      <c r="C17" s="39" t="inlineStr">
        <is>
          <t>Hospitality</t>
        </is>
      </c>
      <c r="D17" s="39" t="inlineStr">
        <is>
          <t>La Union</t>
        </is>
      </c>
      <c r="E17" s="40" t="inlineStr">
        <is>
          <t>Casa Carmelo 2.0</t>
        </is>
      </c>
      <c r="F17" s="41" t="inlineStr">
        <is>
          <t>LUON012325-1</t>
        </is>
      </c>
      <c r="G17" s="41" t="inlineStr">
        <is>
          <t>Jan 23, 2025</t>
        </is>
      </c>
      <c r="H17" s="42" t="inlineStr">
        <is>
          <t>Fabrication of 3 Open Top Low Pressure Range Stove</t>
        </is>
      </c>
      <c r="I17" s="43" t="n">
        <v>63800</v>
      </c>
      <c r="J17" s="44" t="inlineStr">
        <is>
          <t>Quotation Sent</t>
        </is>
      </c>
      <c r="K17" s="45" t="inlineStr">
        <is>
          <t>Quotation 2.0 + Revised (DOCX, PDF)</t>
        </is>
      </c>
      <c r="L17" s="46" t="inlineStr">
        <is>
          <t>Version 2 with revision</t>
        </is>
      </c>
      <c r="M17" s="47" t="n"/>
      <c r="N17" s="47" t="n"/>
    </row>
    <row r="18" ht="32" customHeight="1">
      <c r="A18" s="48" t="n">
        <v>16</v>
      </c>
      <c r="B18" s="49" t="inlineStr">
        <is>
          <t>Chateau De Maisons</t>
        </is>
      </c>
      <c r="C18" s="50" t="inlineStr">
        <is>
          <t>Hospitality</t>
        </is>
      </c>
      <c r="D18" s="50" t="inlineStr">
        <is>
          <t>Baguio City</t>
        </is>
      </c>
      <c r="E18" s="51" t="inlineStr">
        <is>
          <t>Chateau De Maisons</t>
        </is>
      </c>
      <c r="F18" s="52" t="inlineStr">
        <is>
          <t>—</t>
        </is>
      </c>
      <c r="G18" s="52" t="inlineStr">
        <is>
          <t>August 2025</t>
        </is>
      </c>
      <c r="H18" s="53" t="inlineStr">
        <is>
          <t>Kitchen Equipment Layout Design</t>
        </is>
      </c>
      <c r="I18" s="60" t="inlineStr">
        <is>
          <t>See workbook</t>
        </is>
      </c>
      <c r="J18" s="58" t="inlineStr">
        <is>
          <t>Design Stage</t>
        </is>
      </c>
      <c r="K18" s="55" t="inlineStr">
        <is>
          <t>AutoCAD DWG Plan (Aug 2025)</t>
        </is>
      </c>
      <c r="L18" s="56" t="inlineStr">
        <is>
          <t>Design in progress; plan file only</t>
        </is>
      </c>
      <c r="M18" s="47" t="n"/>
      <c r="N18" s="47" t="n"/>
    </row>
    <row r="19" ht="32" customHeight="1">
      <c r="A19" s="37" t="n">
        <v>17</v>
      </c>
      <c r="B19" s="38" t="inlineStr">
        <is>
          <t>Chimichanga</t>
        </is>
      </c>
      <c r="C19" s="39" t="inlineStr">
        <is>
          <t>Restaurant</t>
        </is>
      </c>
      <c r="D19" s="39" t="inlineStr">
        <is>
          <t>Kisad Road, Baguio City</t>
        </is>
      </c>
      <c r="E19" s="40" t="inlineStr">
        <is>
          <t>Chimichanga Restaurant</t>
        </is>
      </c>
      <c r="F19" s="41" t="inlineStr">
        <is>
          <t>BGON012425-1</t>
        </is>
      </c>
      <c r="G19" s="41" t="inlineStr">
        <is>
          <t>Jan 24, 2025</t>
        </is>
      </c>
      <c r="H19" s="42" t="inlineStr">
        <is>
          <t>Fabrication of Kitchen Equipment</t>
        </is>
      </c>
      <c r="I19" s="43" t="n">
        <v>754600</v>
      </c>
      <c r="J19" s="44" t="inlineStr">
        <is>
          <t>Quotation Sent</t>
        </is>
      </c>
      <c r="K19" s="45" t="inlineStr">
        <is>
          <t>Quotation (with &amp; without price versions, DOCX + PDF)</t>
        </is>
      </c>
      <c r="L19" s="46" t="inlineStr">
        <is>
          <t>Two versions: priced and unpriced</t>
        </is>
      </c>
      <c r="M19" s="47" t="n"/>
      <c r="N19" s="47" t="n"/>
    </row>
    <row r="20" ht="32" customHeight="1">
      <c r="A20" s="48" t="n">
        <v>18</v>
      </c>
      <c r="B20" s="49" t="inlineStr">
        <is>
          <t>Cosmos</t>
        </is>
      </c>
      <c r="C20" s="50" t="inlineStr">
        <is>
          <t>Food Service</t>
        </is>
      </c>
      <c r="D20" s="50" t="inlineStr">
        <is>
          <t>La Union</t>
        </is>
      </c>
      <c r="E20" s="51" t="inlineStr">
        <is>
          <t>Cosmos</t>
        </is>
      </c>
      <c r="F20" s="52" t="inlineStr">
        <is>
          <t>LUON-07172025-1</t>
        </is>
      </c>
      <c r="G20" s="52" t="inlineStr">
        <is>
          <t>July 17, 2025</t>
        </is>
      </c>
      <c r="H20" s="53" t="inlineStr">
        <is>
          <t>Rotary Oven Repair</t>
        </is>
      </c>
      <c r="I20" s="54" t="n">
        <v>118000</v>
      </c>
      <c r="J20" s="44" t="inlineStr">
        <is>
          <t>Quotation Sent</t>
        </is>
      </c>
      <c r="K20" s="55" t="inlineStr">
        <is>
          <t>Quotation + Repair Scope (DOCX, PDF, JPG)</t>
        </is>
      </c>
      <c r="L20" s="56" t="inlineStr">
        <is>
          <t>Repair/maintenance quotation</t>
        </is>
      </c>
      <c r="M20" s="47" t="n"/>
      <c r="N20" s="47" t="n"/>
    </row>
    <row r="21" ht="32" customHeight="1">
      <c r="A21" s="37" t="n">
        <v>19</v>
      </c>
      <c r="B21" s="38" t="inlineStr">
        <is>
          <t>DepEd Baguio</t>
        </is>
      </c>
      <c r="C21" s="39" t="inlineStr">
        <is>
          <t>Education / Govt</t>
        </is>
      </c>
      <c r="D21" s="39" t="inlineStr">
        <is>
          <t>Baguio City</t>
        </is>
      </c>
      <c r="E21" s="40" t="inlineStr">
        <is>
          <t>DepEd – Baguio City</t>
        </is>
      </c>
      <c r="F21" s="41" t="inlineStr">
        <is>
          <t>—</t>
        </is>
      </c>
      <c r="G21" s="41" t="inlineStr">
        <is>
          <t>Nov 18, 2024</t>
        </is>
      </c>
      <c r="H21" s="42" t="inlineStr">
        <is>
          <t>Supply of School Laboratory Equipment</t>
        </is>
      </c>
      <c r="I21" s="43" t="n">
        <v>1196487</v>
      </c>
      <c r="J21" s="62" t="inlineStr">
        <is>
          <t>Won / Ongoing</t>
        </is>
      </c>
      <c r="K21" s="45" t="inlineStr">
        <is>
          <t>Market Survey + Quotation + PO-3277 (Narciso) + PO Signed</t>
        </is>
      </c>
      <c r="L21" s="46" t="inlineStr">
        <is>
          <t>PO issued; two signed POs on file; active government order</t>
        </is>
      </c>
      <c r="M21" s="47" t="n"/>
      <c r="N21" s="47" t="n"/>
    </row>
    <row r="22" ht="32" customHeight="1">
      <c r="A22" s="48" t="n">
        <v>20</v>
      </c>
      <c r="B22" s="49" t="inlineStr">
        <is>
          <t>DMMMSU (Sales)</t>
        </is>
      </c>
      <c r="C22" s="50" t="inlineStr">
        <is>
          <t>Education</t>
        </is>
      </c>
      <c r="D22" s="50" t="inlineStr">
        <is>
          <t>La Union</t>
        </is>
      </c>
      <c r="E22" s="51" t="inlineStr">
        <is>
          <t>DMMMSU</t>
        </is>
      </c>
      <c r="F22" s="52" t="inlineStr">
        <is>
          <t>—</t>
        </is>
      </c>
      <c r="G22" s="52" t="inlineStr">
        <is>
          <t>2024</t>
        </is>
      </c>
      <c r="H22" s="53" t="inlineStr">
        <is>
          <t>Kitchen Equipment Supply &amp; Fabrication (Project Portfolio)</t>
        </is>
      </c>
      <c r="I22" s="60" t="inlineStr">
        <is>
          <t>See workbook</t>
        </is>
      </c>
      <c r="J22" s="59" t="inlineStr">
        <is>
          <t>Completed</t>
        </is>
      </c>
      <c r="K22" s="55" t="inlineStr">
        <is>
          <t>Project Portfolio (DOCX)</t>
        </is>
      </c>
      <c r="L22" s="56" t="inlineStr">
        <is>
          <t>Government project completed via Biddings; portfolio doc for reference</t>
        </is>
      </c>
      <c r="M22" s="47" t="n"/>
      <c r="N22" s="47" t="n"/>
    </row>
    <row r="23" ht="32" customHeight="1">
      <c r="A23" s="37" t="n">
        <v>21</v>
      </c>
      <c r="B23" s="38" t="inlineStr">
        <is>
          <t>El Cielito</t>
        </is>
      </c>
      <c r="C23" s="39" t="inlineStr">
        <is>
          <t>Hospitality</t>
        </is>
      </c>
      <c r="D23" s="39" t="inlineStr">
        <is>
          <t>50 North Dr., Baguio City</t>
        </is>
      </c>
      <c r="E23" s="40" t="inlineStr">
        <is>
          <t>El Cielito Hotel</t>
        </is>
      </c>
      <c r="F23" s="41" t="inlineStr">
        <is>
          <t>BGON07112401</t>
        </is>
      </c>
      <c r="G23" s="41" t="inlineStr">
        <is>
          <t>Nov 7, 2024</t>
        </is>
      </c>
      <c r="H23" s="42" t="inlineStr">
        <is>
          <t>Supply &amp; Installation of Exhaust and Fresh Air System</t>
        </is>
      </c>
      <c r="I23" s="43" t="n">
        <v>1428800</v>
      </c>
      <c r="J23" s="44" t="inlineStr">
        <is>
          <t>Quotation Sent</t>
        </is>
      </c>
      <c r="K23" s="45" t="inlineStr">
        <is>
          <t>Price Quotation (DOCX)</t>
        </is>
      </c>
      <c r="L23" s="46" t="inlineStr">
        <is>
          <t>Ventilation system quotation</t>
        </is>
      </c>
      <c r="M23" s="47" t="n"/>
      <c r="N23" s="47" t="n"/>
    </row>
    <row r="24" ht="32" customHeight="1">
      <c r="A24" s="48" t="n">
        <v>22</v>
      </c>
      <c r="B24" s="49" t="inlineStr">
        <is>
          <t>Florante Ponce</t>
        </is>
      </c>
      <c r="C24" s="50" t="inlineStr">
        <is>
          <t>Food Service</t>
        </is>
      </c>
      <c r="D24" s="50" t="inlineStr">
        <is>
          <t>La Union</t>
        </is>
      </c>
      <c r="E24" s="51" t="inlineStr">
        <is>
          <t>Florante Ponce</t>
        </is>
      </c>
      <c r="F24" s="52" t="inlineStr">
        <is>
          <t>LUON04112025-1</t>
        </is>
      </c>
      <c r="G24" s="52" t="inlineStr">
        <is>
          <t>April 11, 2025</t>
        </is>
      </c>
      <c r="H24" s="53" t="inlineStr">
        <is>
          <t>Kitchen Fabrication Works</t>
        </is>
      </c>
      <c r="I24" s="54" t="n">
        <v>112350</v>
      </c>
      <c r="J24" s="44" t="inlineStr">
        <is>
          <t>Quotation Sent</t>
        </is>
      </c>
      <c r="K24" s="55" t="inlineStr">
        <is>
          <t>Quotation 2025-04-11 + Preliminary (DOCX, JPG, PDF)</t>
        </is>
      </c>
      <c r="L24" s="56" t="inlineStr">
        <is>
          <t>Formal and preliminary versions</t>
        </is>
      </c>
      <c r="M24" s="47" t="n"/>
      <c r="N24" s="47" t="n"/>
    </row>
    <row r="25" ht="32" customHeight="1">
      <c r="A25" s="37" t="n">
        <v>23</v>
      </c>
      <c r="B25" s="38" t="inlineStr">
        <is>
          <t>Hatche Cafe</t>
        </is>
      </c>
      <c r="C25" s="39" t="inlineStr">
        <is>
          <t>Café</t>
        </is>
      </c>
      <c r="D25" s="39" t="inlineStr">
        <is>
          <t>Baguio City</t>
        </is>
      </c>
      <c r="E25" s="40" t="inlineStr">
        <is>
          <t>JC Versoza / Hatche Cafe</t>
        </is>
      </c>
      <c r="F25" s="41" t="inlineStr">
        <is>
          <t>BGON09202501</t>
        </is>
      </c>
      <c r="G25" s="41" t="inlineStr">
        <is>
          <t>2025</t>
        </is>
      </c>
      <c r="H25" s="42" t="inlineStr">
        <is>
          <t>Kitchen Fabrication Setup</t>
        </is>
      </c>
      <c r="I25" s="43" t="n">
        <v>469280</v>
      </c>
      <c r="J25" s="44" t="inlineStr">
        <is>
          <t>Quotation Sent</t>
        </is>
      </c>
      <c r="K25" s="45" t="inlineStr">
        <is>
          <t>Formal Quotation + Stove Quotation (DOCX, PDF)</t>
        </is>
      </c>
      <c r="L25" s="46" t="inlineStr">
        <is>
          <t>Two versions: base ₱419,000 + revised ₱469,280</t>
        </is>
      </c>
      <c r="M25" s="47" t="n"/>
      <c r="N25" s="47" t="n"/>
    </row>
    <row r="26" ht="32" customHeight="1">
      <c r="A26" s="48" t="n">
        <v>24</v>
      </c>
      <c r="B26" s="49" t="inlineStr">
        <is>
          <t>Henry</t>
        </is>
      </c>
      <c r="C26" s="50" t="inlineStr">
        <is>
          <t>Food Service</t>
        </is>
      </c>
      <c r="D26" s="50" t="inlineStr">
        <is>
          <t>Unknown Location</t>
        </is>
      </c>
      <c r="E26" s="51" t="inlineStr">
        <is>
          <t>Henry</t>
        </is>
      </c>
      <c r="F26" s="52" t="inlineStr">
        <is>
          <t>—</t>
        </is>
      </c>
      <c r="G26" s="52" t="inlineStr">
        <is>
          <t>—</t>
        </is>
      </c>
      <c r="H26" s="53" t="inlineStr">
        <is>
          <t>Kitchen Equipment</t>
        </is>
      </c>
      <c r="I26" s="60" t="inlineStr">
        <is>
          <t>See workbook</t>
        </is>
      </c>
      <c r="J26" s="44" t="inlineStr">
        <is>
          <t>Quotation Sent</t>
        </is>
      </c>
      <c r="K26" s="55" t="inlineStr">
        <is>
          <t>Quotation (XLSM workbook)</t>
        </is>
      </c>
      <c r="L26" s="56" t="inlineStr">
        <is>
          <t>Amount in XLSM workbook</t>
        </is>
      </c>
      <c r="M26" s="47" t="n"/>
      <c r="N26" s="47" t="n"/>
    </row>
    <row r="27" ht="32" customHeight="1">
      <c r="A27" s="37" t="n">
        <v>25</v>
      </c>
      <c r="B27" s="38" t="inlineStr">
        <is>
          <t>ITRMC</t>
        </is>
      </c>
      <c r="C27" s="39" t="inlineStr">
        <is>
          <t>Hospital</t>
        </is>
      </c>
      <c r="D27" s="39" t="inlineStr">
        <is>
          <t>La Union</t>
        </is>
      </c>
      <c r="E27" s="40" t="inlineStr">
        <is>
          <t>ITRMC</t>
        </is>
      </c>
      <c r="F27" s="41" t="inlineStr">
        <is>
          <t>LUON07062025-1</t>
        </is>
      </c>
      <c r="G27" s="41" t="inlineStr">
        <is>
          <t>Oct 14, 2025</t>
        </is>
      </c>
      <c r="H27" s="42" t="inlineStr">
        <is>
          <t>Supply &amp; Fabrication of Kitchen Equipment</t>
        </is>
      </c>
      <c r="I27" s="43" t="n">
        <v>998000</v>
      </c>
      <c r="J27" s="62" t="inlineStr">
        <is>
          <t>Won / Ongoing</t>
        </is>
      </c>
      <c r="K27" s="45" t="inlineStr">
        <is>
          <t>Multiple Quotations (Sep–Nov 2025) + PO 2026-01-0040 + Canvas Forms + Site Photos + Job Order</t>
        </is>
      </c>
      <c r="L27" s="46" t="inlineStr">
        <is>
          <t>PO 2026-01-0040 issued; signed canvass forms; site photos Dec 2025; multiple quotation revisions</t>
        </is>
      </c>
      <c r="M27" s="47" t="n"/>
      <c r="N27" s="47" t="n"/>
    </row>
    <row r="28" ht="32" customHeight="1">
      <c r="A28" s="48" t="n">
        <v>26</v>
      </c>
      <c r="B28" s="49" t="inlineStr">
        <is>
          <t>J&amp;V</t>
        </is>
      </c>
      <c r="C28" s="50" t="inlineStr">
        <is>
          <t>Food Service</t>
        </is>
      </c>
      <c r="D28" s="50" t="inlineStr">
        <is>
          <t>Unknown Location</t>
        </is>
      </c>
      <c r="E28" s="51" t="inlineStr">
        <is>
          <t>J&amp;V</t>
        </is>
      </c>
      <c r="F28" s="52" t="inlineStr">
        <is>
          <t>—</t>
        </is>
      </c>
      <c r="G28" s="52" t="inlineStr">
        <is>
          <t>—</t>
        </is>
      </c>
      <c r="H28" s="53" t="inlineStr">
        <is>
          <t>Kitchen Layout Design</t>
        </is>
      </c>
      <c r="I28" s="60" t="inlineStr">
        <is>
          <t>See workbook</t>
        </is>
      </c>
      <c r="J28" s="58" t="inlineStr">
        <is>
          <t>Design Stage</t>
        </is>
      </c>
      <c r="K28" s="55" t="inlineStr">
        <is>
          <t>AutoCAD DWG Plan + Reference Image</t>
        </is>
      </c>
      <c r="L28" s="56" t="inlineStr">
        <is>
          <t>Design phase only; no quotation issued yet</t>
        </is>
      </c>
      <c r="M28" s="47" t="n"/>
      <c r="N28" s="47" t="n"/>
    </row>
    <row r="29" ht="32" customHeight="1">
      <c r="A29" s="37" t="n">
        <v>27</v>
      </c>
      <c r="B29" s="38" t="inlineStr">
        <is>
          <t>Jackie Red Ausa</t>
        </is>
      </c>
      <c r="C29" s="39" t="inlineStr">
        <is>
          <t>Food Service</t>
        </is>
      </c>
      <c r="D29" s="39" t="inlineStr">
        <is>
          <t>Loacan, Itogon, Benguet</t>
        </is>
      </c>
      <c r="E29" s="40" t="inlineStr">
        <is>
          <t>Jackie Red Ausa</t>
        </is>
      </c>
      <c r="F29" s="41" t="inlineStr">
        <is>
          <t>BGON07012025-1</t>
        </is>
      </c>
      <c r="G29" s="41" t="inlineStr">
        <is>
          <t>July 1, 2025</t>
        </is>
      </c>
      <c r="H29" s="42" t="inlineStr">
        <is>
          <t>Fabrication, Supply &amp; Installation of Kitchen Setup</t>
        </is>
      </c>
      <c r="I29" s="43" t="n">
        <v>1246900</v>
      </c>
      <c r="J29" s="44" t="inlineStr">
        <is>
          <t>Quotation Sent</t>
        </is>
      </c>
      <c r="K29" s="45" t="inlineStr">
        <is>
          <t>Price Quotation (DOCX, PDF)</t>
        </is>
      </c>
      <c r="L29" s="46" t="inlineStr">
        <is>
          <t>Full kitchen setup quotation</t>
        </is>
      </c>
      <c r="M29" s="47" t="n"/>
      <c r="N29" s="47" t="n"/>
    </row>
    <row r="30" ht="32" customHeight="1">
      <c r="A30" s="48" t="n">
        <v>28</v>
      </c>
      <c r="B30" s="49" t="inlineStr">
        <is>
          <t>Jessa Sison</t>
        </is>
      </c>
      <c r="C30" s="50" t="inlineStr">
        <is>
          <t>Food Service</t>
        </is>
      </c>
      <c r="D30" s="50" t="inlineStr">
        <is>
          <t>Vigan, Ilocos Sur</t>
        </is>
      </c>
      <c r="E30" s="51" t="inlineStr">
        <is>
          <t>Jessa Sison</t>
        </is>
      </c>
      <c r="F30" s="52" t="inlineStr">
        <is>
          <t>—</t>
        </is>
      </c>
      <c r="G30" s="52" t="inlineStr">
        <is>
          <t>—</t>
        </is>
      </c>
      <c r="H30" s="53" t="inlineStr">
        <is>
          <t>Supply of Armchairs</t>
        </is>
      </c>
      <c r="I30" s="60" t="inlineStr">
        <is>
          <t>See workbook</t>
        </is>
      </c>
      <c r="J30" s="44" t="inlineStr">
        <is>
          <t>Quotation Sent</t>
        </is>
      </c>
      <c r="K30" s="55" t="inlineStr">
        <is>
          <t>Quotation Workbook (XLSM) + Reference Photos</t>
        </is>
      </c>
      <c r="L30" s="56" t="inlineStr">
        <is>
          <t>Furniture/armchair quotation; amount in XLSM</t>
        </is>
      </c>
      <c r="M30" s="47" t="n"/>
      <c r="N30" s="47" t="n"/>
    </row>
    <row r="31" ht="32" customHeight="1">
      <c r="A31" s="37" t="n">
        <v>29</v>
      </c>
      <c r="B31" s="38" t="inlineStr">
        <is>
          <t>Jomarcann</t>
        </is>
      </c>
      <c r="C31" s="39" t="inlineStr">
        <is>
          <t>Food Service</t>
        </is>
      </c>
      <c r="D31" s="39" t="inlineStr">
        <is>
          <t>Sta. Cruz, Ilocos Sur</t>
        </is>
      </c>
      <c r="E31" s="40" t="inlineStr">
        <is>
          <t>Jomarcann</t>
        </is>
      </c>
      <c r="F31" s="41" t="inlineStr">
        <is>
          <t>—</t>
        </is>
      </c>
      <c r="G31" s="41" t="inlineStr">
        <is>
          <t>—</t>
        </is>
      </c>
      <c r="H31" s="42" t="inlineStr">
        <is>
          <t>Kitchen Equipment Supply &amp; Fabrication</t>
        </is>
      </c>
      <c r="I31" s="57" t="inlineStr">
        <is>
          <t>See workbook</t>
        </is>
      </c>
      <c r="J31" s="44" t="inlineStr">
        <is>
          <t>Quotation Sent</t>
        </is>
      </c>
      <c r="K31" s="45" t="inlineStr">
        <is>
          <t>Quotation PDF + XLSM</t>
        </is>
      </c>
      <c r="L31" s="46" t="inlineStr">
        <is>
          <t>Amount in XLSM workbook</t>
        </is>
      </c>
      <c r="M31" s="47" t="n"/>
      <c r="N31" s="47" t="n"/>
    </row>
    <row r="32" ht="32" customHeight="1">
      <c r="A32" s="48" t="n">
        <v>30</v>
      </c>
      <c r="B32" s="49" t="inlineStr">
        <is>
          <t>Joms Lano</t>
        </is>
      </c>
      <c r="C32" s="50" t="inlineStr">
        <is>
          <t>Food Service</t>
        </is>
      </c>
      <c r="D32" s="50" t="inlineStr">
        <is>
          <t>Baguio City</t>
        </is>
      </c>
      <c r="E32" s="51" t="inlineStr">
        <is>
          <t>Joms Lano</t>
        </is>
      </c>
      <c r="F32" s="52" t="inlineStr">
        <is>
          <t>—</t>
        </is>
      </c>
      <c r="G32" s="52" t="inlineStr">
        <is>
          <t>Dec 2024</t>
        </is>
      </c>
      <c r="H32" s="53" t="inlineStr">
        <is>
          <t>Kitchen Equipment &amp; Ducting (Billing + Additionals)</t>
        </is>
      </c>
      <c r="I32" s="60" t="inlineStr">
        <is>
          <t>See workbook</t>
        </is>
      </c>
      <c r="J32" s="59" t="inlineStr">
        <is>
          <t>Completed</t>
        </is>
      </c>
      <c r="K32" s="55" t="inlineStr">
        <is>
          <t>Price Quotation + Billing Invoice + Additionals + Ducting Extension + Final Billing + Range Hood</t>
        </is>
      </c>
      <c r="L32" s="56" t="inlineStr">
        <is>
          <t>Completed; billing invoice and final billing PDFs on file; ducting extension added</t>
        </is>
      </c>
      <c r="M32" s="47" t="n"/>
      <c r="N32" s="47" t="n"/>
    </row>
    <row r="33" ht="32" customHeight="1">
      <c r="A33" s="37" t="n">
        <v>31</v>
      </c>
      <c r="B33" s="38" t="inlineStr">
        <is>
          <t>Jorence Madio</t>
        </is>
      </c>
      <c r="C33" s="39" t="inlineStr">
        <is>
          <t>Food Service</t>
        </is>
      </c>
      <c r="D33" s="39" t="inlineStr">
        <is>
          <t>Rodriguez, Rizal</t>
        </is>
      </c>
      <c r="E33" s="40" t="inlineStr">
        <is>
          <t>Jorence Madio</t>
        </is>
      </c>
      <c r="F33" s="41" t="inlineStr">
        <is>
          <t>—</t>
        </is>
      </c>
      <c r="G33" s="41" t="inlineStr">
        <is>
          <t>Aug 25, 2025</t>
        </is>
      </c>
      <c r="H33" s="42" t="inlineStr">
        <is>
          <t>Kitchen Equipment Supply &amp; Fabrication</t>
        </is>
      </c>
      <c r="I33" s="57" t="inlineStr">
        <is>
          <t>See workbook</t>
        </is>
      </c>
      <c r="J33" s="44" t="inlineStr">
        <is>
          <t>Quotation Sent</t>
        </is>
      </c>
      <c r="K33" s="45" t="inlineStr">
        <is>
          <t>Quotation 2025-08-25 (PDF)</t>
        </is>
      </c>
      <c r="L33" s="46" t="inlineStr">
        <is>
          <t>PDF only; amount not extractable</t>
        </is>
      </c>
      <c r="M33" s="47" t="n"/>
      <c r="N33" s="47" t="n"/>
    </row>
    <row r="34" ht="32" customHeight="1">
      <c r="A34" s="48" t="n">
        <v>32</v>
      </c>
      <c r="B34" s="49" t="inlineStr">
        <is>
          <t>Juan Paolo Prado</t>
        </is>
      </c>
      <c r="C34" s="50" t="inlineStr">
        <is>
          <t>Food Service</t>
        </is>
      </c>
      <c r="D34" s="50" t="inlineStr">
        <is>
          <t>Makati (Sison Bus Stop)</t>
        </is>
      </c>
      <c r="E34" s="51" t="inlineStr">
        <is>
          <t>Juan Paolo Prado</t>
        </is>
      </c>
      <c r="F34" s="52" t="inlineStr">
        <is>
          <t>MKON06182025-01</t>
        </is>
      </c>
      <c r="G34" s="52" t="inlineStr">
        <is>
          <t>June 18, 2025</t>
        </is>
      </c>
      <c r="H34" s="53" t="inlineStr">
        <is>
          <t>Fabrication &amp; Installation of Range Hood + Fire Suppression</t>
        </is>
      </c>
      <c r="I34" s="54" t="n">
        <v>942200</v>
      </c>
      <c r="J34" s="44" t="inlineStr">
        <is>
          <t>Quotation Sent</t>
        </is>
      </c>
      <c r="K34" s="55" t="inlineStr">
        <is>
          <t>Multiple Quotations + Fire Suppression Specs (DOCX, JPG, PDF)</t>
        </is>
      </c>
      <c r="L34" s="56" t="inlineStr">
        <is>
          <t>Includes fire suppression system specs</t>
        </is>
      </c>
      <c r="M34" s="47" t="n"/>
      <c r="N34" s="47" t="n"/>
    </row>
    <row r="35" ht="32" customHeight="1">
      <c r="A35" s="37" t="n">
        <v>33</v>
      </c>
      <c r="B35" s="38" t="inlineStr">
        <is>
          <t>Jun Tamayo</t>
        </is>
      </c>
      <c r="C35" s="39" t="inlineStr">
        <is>
          <t>Food Service</t>
        </is>
      </c>
      <c r="D35" s="39" t="inlineStr">
        <is>
          <t>Unknown Location</t>
        </is>
      </c>
      <c r="E35" s="40" t="inlineStr">
        <is>
          <t>Jun Tamayo</t>
        </is>
      </c>
      <c r="F35" s="41" t="inlineStr">
        <is>
          <t>—</t>
        </is>
      </c>
      <c r="G35" s="41" t="inlineStr">
        <is>
          <t>—</t>
        </is>
      </c>
      <c r="H35" s="42" t="inlineStr">
        <is>
          <t>BI Sheet Exhaust System &amp; AC Pancake Supply</t>
        </is>
      </c>
      <c r="I35" s="43" t="n">
        <v>690000</v>
      </c>
      <c r="J35" s="44" t="inlineStr">
        <is>
          <t>Quotation Sent</t>
        </is>
      </c>
      <c r="K35" s="45" t="inlineStr">
        <is>
          <t>Price Quotation + AC Supply Quotation (DOCX, PDF)</t>
        </is>
      </c>
      <c r="L35" s="46" t="inlineStr">
        <is>
          <t>Includes ventilation and AC equipment</t>
        </is>
      </c>
      <c r="M35" s="47" t="n"/>
      <c r="N35" s="47" t="n"/>
    </row>
    <row r="36" ht="32" customHeight="1">
      <c r="A36" s="48" t="n">
        <v>34</v>
      </c>
      <c r="B36" s="49" t="inlineStr">
        <is>
          <t>Justin Bautista</t>
        </is>
      </c>
      <c r="C36" s="50" t="inlineStr">
        <is>
          <t>Food Service</t>
        </is>
      </c>
      <c r="D36" s="50" t="inlineStr">
        <is>
          <t>Tondaligan, Bonuan, Pangasinan</t>
        </is>
      </c>
      <c r="E36" s="51" t="inlineStr">
        <is>
          <t>Justin Bautista</t>
        </is>
      </c>
      <c r="F36" s="52" t="inlineStr">
        <is>
          <t>ONBG0362025-01</t>
        </is>
      </c>
      <c r="G36" s="52" t="inlineStr">
        <is>
          <t>March 26, 2025</t>
        </is>
      </c>
      <c r="H36" s="53" t="inlineStr">
        <is>
          <t>Fabrication of Kitchen Equipment</t>
        </is>
      </c>
      <c r="I36" s="54" t="n">
        <v>557300</v>
      </c>
      <c r="J36" s="44" t="inlineStr">
        <is>
          <t>Quotation Sent</t>
        </is>
      </c>
      <c r="K36" s="55" t="inlineStr">
        <is>
          <t>Quotation (with &amp; without price versions, DOCX, PDF)</t>
        </is>
      </c>
      <c r="L36" s="56" t="inlineStr">
        <is>
          <t>Revised total ₱557,300; base ₱410,000</t>
        </is>
      </c>
      <c r="M36" s="47" t="n"/>
      <c r="N36" s="47" t="n"/>
    </row>
    <row r="37" ht="32" customHeight="1">
      <c r="A37" s="37" t="n">
        <v>35</v>
      </c>
      <c r="B37" s="38" t="inlineStr">
        <is>
          <t>Kings College</t>
        </is>
      </c>
      <c r="C37" s="39" t="inlineStr">
        <is>
          <t>Education</t>
        </is>
      </c>
      <c r="D37" s="39" t="inlineStr">
        <is>
          <t>La Trinidad, Benguet</t>
        </is>
      </c>
      <c r="E37" s="40" t="inlineStr">
        <is>
          <t>Kings College</t>
        </is>
      </c>
      <c r="F37" s="41" t="inlineStr">
        <is>
          <t>BGON12102401</t>
        </is>
      </c>
      <c r="G37" s="41" t="inlineStr">
        <is>
          <t>Dec 10, 2024</t>
        </is>
      </c>
      <c r="H37" s="42" t="inlineStr">
        <is>
          <t>Fabrication &amp; Repair of Hood and Duct System</t>
        </is>
      </c>
      <c r="I37" s="43" t="n">
        <v>199000</v>
      </c>
      <c r="J37" s="44" t="inlineStr">
        <is>
          <t>Quotation Sent</t>
        </is>
      </c>
      <c r="K37" s="45" t="inlineStr">
        <is>
          <t>Quotation (DOCX, PDF)</t>
        </is>
      </c>
      <c r="L37" s="46" t="inlineStr"/>
      <c r="M37" s="47" t="n"/>
      <c r="N37" s="47" t="n"/>
    </row>
    <row r="38" ht="32" customHeight="1">
      <c r="A38" s="48" t="n">
        <v>36</v>
      </c>
      <c r="B38" s="49" t="inlineStr">
        <is>
          <t>Lorma Colleges</t>
        </is>
      </c>
      <c r="C38" s="50" t="inlineStr">
        <is>
          <t>Education</t>
        </is>
      </c>
      <c r="D38" s="50" t="inlineStr">
        <is>
          <t>San Fernando, La Union</t>
        </is>
      </c>
      <c r="E38" s="51" t="inlineStr">
        <is>
          <t>Lorma Colleges</t>
        </is>
      </c>
      <c r="F38" s="52" t="inlineStr">
        <is>
          <t>—</t>
        </is>
      </c>
      <c r="G38" s="52" t="inlineStr">
        <is>
          <t>Aug 1, 2025</t>
        </is>
      </c>
      <c r="H38" s="53" t="inlineStr">
        <is>
          <t>Kitchen Equipment (Preliminary Quotation)</t>
        </is>
      </c>
      <c r="I38" s="60" t="inlineStr">
        <is>
          <t>See workbook</t>
        </is>
      </c>
      <c r="J38" s="44" t="inlineStr">
        <is>
          <t>Quotation Sent</t>
        </is>
      </c>
      <c r="K38" s="55" t="inlineStr">
        <is>
          <t>Preliminary Quotation (XLSX)</t>
        </is>
      </c>
      <c r="L38" s="56" t="inlineStr">
        <is>
          <t>Preliminary only; amount in XLSX workbook</t>
        </is>
      </c>
      <c r="M38" s="47" t="n"/>
      <c r="N38" s="47" t="n"/>
    </row>
    <row r="39" ht="32" customHeight="1">
      <c r="A39" s="37" t="n">
        <v>37</v>
      </c>
      <c r="B39" s="38" t="inlineStr">
        <is>
          <t>Melrog Matthews</t>
        </is>
      </c>
      <c r="C39" s="39" t="inlineStr">
        <is>
          <t>Food Service</t>
        </is>
      </c>
      <c r="D39" s="39" t="inlineStr">
        <is>
          <t>Sta. Cruz, Ilocos Sur</t>
        </is>
      </c>
      <c r="E39" s="40" t="inlineStr">
        <is>
          <t>Melrog Matthews</t>
        </is>
      </c>
      <c r="F39" s="41" t="inlineStr">
        <is>
          <t>—</t>
        </is>
      </c>
      <c r="G39" s="41" t="inlineStr">
        <is>
          <t>—</t>
        </is>
      </c>
      <c r="H39" s="42" t="inlineStr">
        <is>
          <t>Kitchen Equipment Layout Design</t>
        </is>
      </c>
      <c r="I39" s="57" t="inlineStr">
        <is>
          <t>See workbook</t>
        </is>
      </c>
      <c r="J39" s="58" t="inlineStr">
        <is>
          <t>Design Stage</t>
        </is>
      </c>
      <c r="K39" s="45" t="inlineStr">
        <is>
          <t>Quotation PDF + AutoCAD DWG Plans</t>
        </is>
      </c>
      <c r="L39" s="46" t="inlineStr">
        <is>
          <t>AutoCAD design files; detailed floor plan</t>
        </is>
      </c>
      <c r="M39" s="47" t="n"/>
      <c r="N39" s="47" t="n"/>
    </row>
    <row r="40" ht="32" customHeight="1">
      <c r="A40" s="48" t="n">
        <v>38</v>
      </c>
      <c r="B40" s="49" t="inlineStr">
        <is>
          <t>Mikee Amlap</t>
        </is>
      </c>
      <c r="C40" s="50" t="inlineStr">
        <is>
          <t>Food Service</t>
        </is>
      </c>
      <c r="D40" s="50" t="inlineStr">
        <is>
          <t>Unknown Location</t>
        </is>
      </c>
      <c r="E40" s="51" t="inlineStr">
        <is>
          <t>Mikee Amlap</t>
        </is>
      </c>
      <c r="F40" s="52" t="inlineStr">
        <is>
          <t>BGON-04152025-1</t>
        </is>
      </c>
      <c r="G40" s="52" t="inlineStr">
        <is>
          <t>April 15, 2025</t>
        </is>
      </c>
      <c r="H40" s="53" t="inlineStr">
        <is>
          <t>Food Processing Equipment Supply</t>
        </is>
      </c>
      <c r="I40" s="54" t="n">
        <v>91000</v>
      </c>
      <c r="J40" s="44" t="inlineStr">
        <is>
          <t>Quotation Sent</t>
        </is>
      </c>
      <c r="K40" s="55" t="inlineStr">
        <is>
          <t>Price Quotation (DOCX)</t>
        </is>
      </c>
      <c r="L40" s="56" t="inlineStr">
        <is>
          <t>Estimated from line items</t>
        </is>
      </c>
      <c r="M40" s="47" t="n"/>
      <c r="N40" s="47" t="n"/>
    </row>
    <row r="41" ht="32" customHeight="1">
      <c r="A41" s="37" t="n">
        <v>39</v>
      </c>
      <c r="B41" s="38" t="inlineStr">
        <is>
          <t>Ridgewood Hotel</t>
        </is>
      </c>
      <c r="C41" s="39" t="inlineStr">
        <is>
          <t>Hospitality</t>
        </is>
      </c>
      <c r="D41" s="39" t="inlineStr">
        <is>
          <t>Baguio City</t>
        </is>
      </c>
      <c r="E41" s="40" t="inlineStr">
        <is>
          <t>August Tero / Ridgewood Hotel</t>
        </is>
      </c>
      <c r="F41" s="41" t="inlineStr">
        <is>
          <t>BGOF013125-1</t>
        </is>
      </c>
      <c r="G41" s="41" t="inlineStr">
        <is>
          <t>Jan 31, 2025</t>
        </is>
      </c>
      <c r="H41" s="42" t="inlineStr">
        <is>
          <t>Kitchen Equipment Supply + Preventive Maintenance Contract</t>
        </is>
      </c>
      <c r="I41" s="43" t="n">
        <v>313900</v>
      </c>
      <c r="J41" s="61" t="inlineStr">
        <is>
          <t>Ongoing</t>
        </is>
      </c>
      <c r="K41" s="45" t="inlineStr">
        <is>
          <t>Multiple Quotations + Job Order (Final) + Preventive Maintenance (Monthly)</t>
        </is>
      </c>
      <c r="L41" s="46" t="inlineStr">
        <is>
          <t>Repeat client; active PM contract ₱24,000/year; Job Order finalized</t>
        </is>
      </c>
      <c r="M41" s="47" t="n"/>
      <c r="N41" s="47" t="n"/>
    </row>
    <row r="42" ht="32" customHeight="1">
      <c r="A42" s="48" t="n">
        <v>40</v>
      </c>
      <c r="B42" s="49" t="inlineStr">
        <is>
          <t>Tita BETH'S 2 Chefs</t>
        </is>
      </c>
      <c r="C42" s="50" t="inlineStr">
        <is>
          <t>Restaurant</t>
        </is>
      </c>
      <c r="D42" s="50" t="inlineStr">
        <is>
          <t>Laoag City, Ilocos Norte</t>
        </is>
      </c>
      <c r="E42" s="51" t="inlineStr">
        <is>
          <t>Tita Beth's 2 Chefs</t>
        </is>
      </c>
      <c r="F42" s="52" t="inlineStr">
        <is>
          <t>LUON07032025-1</t>
        </is>
      </c>
      <c r="G42" s="52" t="inlineStr">
        <is>
          <t>July 3, 2025</t>
        </is>
      </c>
      <c r="H42" s="53" t="inlineStr">
        <is>
          <t>Kitchen Equipment Setup (Full Kitchen)</t>
        </is>
      </c>
      <c r="I42" s="54" t="n">
        <v>1378800</v>
      </c>
      <c r="J42" s="44" t="inlineStr">
        <is>
          <t>Quotation Sent</t>
        </is>
      </c>
      <c r="K42" s="55" t="inlineStr">
        <is>
          <t>Price Quotation + Photos (DOCX, JPG, PDF) – 3 sections</t>
        </is>
      </c>
      <c r="L42" s="56" t="inlineStr">
        <is>
          <t>Full kitchen; total across 3 sections</t>
        </is>
      </c>
      <c r="M42" s="47" t="n"/>
      <c r="N42" s="47" t="n"/>
    </row>
    <row r="43" ht="32" customHeight="1">
      <c r="A43" s="37" t="n">
        <v>41</v>
      </c>
      <c r="B43" s="38" t="inlineStr">
        <is>
          <t>Vhia Chan</t>
        </is>
      </c>
      <c r="C43" s="39" t="inlineStr">
        <is>
          <t>Food Service</t>
        </is>
      </c>
      <c r="D43" s="39" t="inlineStr">
        <is>
          <t>La Union</t>
        </is>
      </c>
      <c r="E43" s="40" t="inlineStr">
        <is>
          <t>Vhiacel Chan</t>
        </is>
      </c>
      <c r="F43" s="41" t="inlineStr">
        <is>
          <t>LUON06302025-1</t>
        </is>
      </c>
      <c r="G43" s="41" t="inlineStr">
        <is>
          <t>June 30, 2025</t>
        </is>
      </c>
      <c r="H43" s="42" t="inlineStr">
        <is>
          <t>Range Hood System Fabrication</t>
        </is>
      </c>
      <c r="I43" s="43" t="n">
        <v>50000</v>
      </c>
      <c r="J43" s="44" t="inlineStr">
        <is>
          <t>Quotation Sent</t>
        </is>
      </c>
      <c r="K43" s="45" t="inlineStr">
        <is>
          <t>Quotation (DOCX, PDF)</t>
        </is>
      </c>
      <c r="L43" s="46" t="inlineStr"/>
      <c r="M43" s="47" t="n"/>
      <c r="N43" s="47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6" customWidth="1" min="5" max="5"/>
    <col width="4" customWidth="1" min="6" max="6"/>
    <col width="20" customWidth="1" min="7" max="7"/>
    <col width="14" customWidth="1" min="8" max="8"/>
    <col width="14" customWidth="1" min="9" max="9"/>
  </cols>
  <sheetData>
    <row r="1" ht="36" customHeight="1">
      <c r="A1" s="63" t="inlineStr">
        <is>
          <t>CLIENT ANALYTICS — PIPELINE &amp; PERFORMANCE</t>
        </is>
      </c>
    </row>
    <row r="3" ht="26" customHeight="1">
      <c r="A3" s="18" t="inlineStr">
        <is>
          <t>SALES PIPELINE FUNNEL</t>
        </is>
      </c>
    </row>
    <row r="4" ht="22" customHeight="1">
      <c r="A4" s="19" t="inlineStr">
        <is>
          <t>STAGE</t>
        </is>
      </c>
      <c r="C4" s="20" t="inlineStr">
        <is>
          <t>COUNT</t>
        </is>
      </c>
      <c r="D4" s="20" t="inlineStr">
        <is>
          <t>% TOTAL</t>
        </is>
      </c>
      <c r="E4" s="20" t="inlineStr">
        <is>
          <t>QUOTED VALUE (₱)</t>
        </is>
      </c>
    </row>
    <row r="5" ht="22" customHeight="1">
      <c r="A5" s="27" t="inlineStr">
        <is>
          <t>Design Stage</t>
        </is>
      </c>
      <c r="C5" s="23">
        <f>COUNTIF('Client Records'!J3:J200,"Design Stage")</f>
        <v/>
      </c>
      <c r="D5" s="24">
        <f>IFERROR(C5/COUNTA('Client Records'!A3:A200),"-")</f>
        <v/>
      </c>
      <c r="E5" s="25">
        <f>SUMIF('Client Records'!J3:J200,"Design Stage",'Client Records'!I3:I200)</f>
        <v/>
      </c>
    </row>
    <row r="6" ht="22" customHeight="1">
      <c r="A6" s="22" t="inlineStr">
        <is>
          <t>Quotation Sent</t>
        </is>
      </c>
      <c r="C6" s="23">
        <f>COUNTIF('Client Records'!J3:J200,"Quotation Sent")+COUNTIF('Client Records'!J3:J200,"Proposal Sent")</f>
        <v/>
      </c>
      <c r="D6" s="24">
        <f>IFERROR(C6/COUNTA('Client Records'!A3:A200),"-")</f>
        <v/>
      </c>
      <c r="E6" s="25">
        <f>SUMIF('Client Records'!J3:J200,"Quotation Sent",'Client Records'!I3:I200)+SUMIF('Client Records'!J3:J200,"Proposal Sent",'Client Records'!I3:I200)</f>
        <v/>
      </c>
    </row>
    <row r="7" ht="22" customHeight="1">
      <c r="A7" s="29" t="inlineStr">
        <is>
          <t>Won / Ongoing</t>
        </is>
      </c>
      <c r="C7" s="23">
        <f>COUNTIF('Client Records'!J3:J200,"Won / Ongoing")+COUNTIF('Client Records'!J3:J200,"Ongoing")</f>
        <v/>
      </c>
      <c r="D7" s="24">
        <f>IFERROR(C7/COUNTA('Client Records'!A3:A200),"-")</f>
        <v/>
      </c>
      <c r="E7" s="25">
        <f>SUMIF('Client Records'!J3:J200,"Won / Ongoing",'Client Records'!I3:I200)+SUMIF('Client Records'!J3:J200,"Ongoing",'Client Records'!I3:I200)</f>
        <v/>
      </c>
    </row>
    <row r="8" ht="22" customHeight="1">
      <c r="A8" s="31" t="inlineStr">
        <is>
          <t>Completed</t>
        </is>
      </c>
      <c r="C8" s="23">
        <f>COUNTIF('Client Records'!J3:J200,"Completed")</f>
        <v/>
      </c>
      <c r="D8" s="24">
        <f>IFERROR(C8/COUNTA('Client Records'!A3:A200),"-")</f>
        <v/>
      </c>
      <c r="E8" s="25">
        <f>SUMIF('Client Records'!J3:J200,"Completed",'Client Records'!I3:I200)</f>
        <v/>
      </c>
    </row>
    <row r="9" ht="22" customHeight="1">
      <c r="A9" s="32" t="inlineStr">
        <is>
          <t>Lost / No Response</t>
        </is>
      </c>
      <c r="C9" s="23">
        <f>COUNTIF('Client Records'!J3:J200,"Lost / No Response")</f>
        <v/>
      </c>
      <c r="D9" s="24">
        <f>IFERROR(C9/COUNTA('Client Records'!A3:A200),"-")</f>
        <v/>
      </c>
      <c r="E9" s="25">
        <f>SUMIF('Client Records'!J3:J200,"Lost / No Response",'Client Records'!I3:I200)</f>
        <v/>
      </c>
    </row>
    <row r="12" ht="26" customHeight="1">
      <c r="A12" s="18" t="inlineStr">
        <is>
          <t>KEY PERFORMANCE METRICS</t>
        </is>
      </c>
    </row>
    <row r="13" ht="22" customHeight="1">
      <c r="A13" s="64" t="inlineStr">
        <is>
          <t>Win Rate (Won + Ongoing + Completed / Total)</t>
        </is>
      </c>
      <c r="C13" s="65">
        <f>IFERROR((COUNTIF('Client Records'!J3:J200,"Completed")+COUNTIF('Client Records'!J3:J200,"Won / Ongoing")+COUNTIF('Client Records'!J3:J200,"Ongoing"))/COUNTA('Client Records'!A3:A200),"-")</f>
        <v/>
      </c>
    </row>
    <row r="14" ht="22" customHeight="1">
      <c r="A14" s="50" t="inlineStr">
        <is>
          <t>Quotation-to-Win Conversion</t>
        </is>
      </c>
      <c r="C14" s="65">
        <f>IFERROR((COUNTIF('Client Records'!J3:J200,"Completed")+COUNTIF('Client Records'!J3:J200,"Won / Ongoing")+COUNTIF('Client Records'!J3:J200,"Ongoing"))/(COUNTIF('Client Records'!J3:J200,"Quotation Sent")+COUNTIF('Client Records'!J3:J200,"Completed")+COUNTIF('Client Records'!J3:J200,"Won / Ongoing")+COUNTIF('Client Records'!J3:J200,"Ongoing")),"-")</f>
        <v/>
      </c>
    </row>
    <row r="15" ht="22" customHeight="1">
      <c r="A15" s="64" t="inlineStr">
        <is>
          <t>Total Quoted Pipeline (₱)</t>
        </is>
      </c>
      <c r="C15" s="25">
        <f>SUMIF('Client Records'!J3:J200,"Quotation Sent",'Client Records'!I3:I200)+SUMIF('Client Records'!J3:J200,"Design Stage",'Client Records'!I3:I200)</f>
        <v/>
      </c>
    </row>
    <row r="16" ht="22" customHeight="1">
      <c r="A16" s="50" t="inlineStr">
        <is>
          <t>Total Won + Completed Revenue (₱)</t>
        </is>
      </c>
      <c r="C16" s="25">
        <f>SUMIF('Client Records'!J3:J200,"Completed",'Client Records'!I3:I200)+SUMIF('Client Records'!J3:J200,"Won / Ongoing",'Client Records'!I3:I200)+SUMIF('Client Records'!J3:J200,"Ongoing",'Client Records'!I3:I200)</f>
        <v/>
      </c>
    </row>
    <row r="17" ht="22" customHeight="1">
      <c r="A17" s="64" t="inlineStr">
        <is>
          <t>Active Projects (Won / Ongoing)</t>
        </is>
      </c>
      <c r="C17" s="66">
        <f>COUNTIF('Client Records'!J3:J200,"Won / Ongoing")+COUNTIF('Client Records'!J3:J200,"Ongoing")</f>
        <v/>
      </c>
    </row>
    <row r="18" ht="22" customHeight="1">
      <c r="A18" s="50" t="inlineStr">
        <is>
          <t>Completed Projects</t>
        </is>
      </c>
      <c r="C18" s="66">
        <f>COUNTIF('Client Records'!J3:J200,"Completed")</f>
        <v/>
      </c>
    </row>
    <row r="19" ht="22" customHeight="1">
      <c r="A19" s="64" t="inlineStr">
        <is>
          <t>Avg Quotation Value (where amount known)</t>
        </is>
      </c>
      <c r="C19" s="25">
        <f>IFERROR(AVERAGEIF('Client Records'!J3:J200,"Quotation Sent",'Client Records'!I3:I200),"-")</f>
        <v/>
      </c>
    </row>
  </sheetData>
  <mergeCells count="16">
    <mergeCell ref="A4:B4"/>
    <mergeCell ref="A12:E12"/>
    <mergeCell ref="A16:B16"/>
    <mergeCell ref="A15:B15"/>
    <mergeCell ref="A7:B7"/>
    <mergeCell ref="A19:B19"/>
    <mergeCell ref="A5:B5"/>
    <mergeCell ref="A1:I1"/>
    <mergeCell ref="A13:B13"/>
    <mergeCell ref="A14:B14"/>
    <mergeCell ref="A18:B18"/>
    <mergeCell ref="A17:B17"/>
    <mergeCell ref="A9:B9"/>
    <mergeCell ref="A8:B8"/>
    <mergeCell ref="A6:B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2026-06-16T01:27:52Z</dcterms:created>
  <dcterms:modified xmlns:dcterms="http://purl.org/dc/terms/" xmlns:xsi="http://www.w3.org/2001/XMLSchema-instance" xsi:type="dcterms:W3CDTF">2026-06-16T01:27:52Z</dcterms:modified>
</cp:coreProperties>
</file>
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iddings Detail" sheetId="2" state="visible" r:id="rId2"/>
    <sheet xmlns:r="http://schemas.openxmlformats.org/officeDocument/2006/relationships" name="PhilGEPS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₱#,##0.00"/>
    <numFmt numFmtId="166" formatCode="₱#,##0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24"/>
    </font>
    <font>
      <name val="Arial"/>
      <b val="1"/>
      <color rgb="00375623"/>
      <sz val="24"/>
    </font>
    <font>
      <name val="Arial"/>
      <b val="1"/>
      <color rgb="007D6608"/>
      <sz val="24"/>
    </font>
    <font>
      <name val="Arial"/>
      <b val="1"/>
      <color rgb="002E5FA3"/>
      <sz val="24"/>
    </font>
    <font>
      <name val="Arial"/>
      <b val="1"/>
      <color rgb="00006064"/>
      <sz val="24"/>
    </font>
    <font>
      <name val="Arial"/>
      <b val="1"/>
      <color rgb="00FFFFFF"/>
      <sz val="10"/>
    </font>
    <font>
      <name val="Arial"/>
      <b val="1"/>
      <color rgb="00375623"/>
      <sz val="14"/>
    </font>
    <font>
      <name val="Arial"/>
      <b val="1"/>
      <color rgb="007D6608"/>
      <sz val="14"/>
    </font>
    <font>
      <name val="Arial"/>
      <b val="1"/>
      <color rgb="002E5FA3"/>
      <sz val="14"/>
    </font>
    <font>
      <name val="Arial"/>
      <b val="1"/>
      <color rgb="00FFFFFF"/>
      <sz val="11"/>
    </font>
    <font>
      <name val="Arial"/>
      <b val="1"/>
      <color rgb="00375623"/>
      <sz val="9"/>
    </font>
    <font>
      <name val="Arial"/>
      <b val="1"/>
      <color rgb="00111111"/>
      <sz val="9"/>
    </font>
    <font>
      <name val="Arial"/>
      <color rgb="00111111"/>
      <sz val="9"/>
    </font>
    <font>
      <name val="Arial"/>
      <b val="1"/>
      <color rgb="007D6608"/>
      <sz val="9"/>
    </font>
    <font>
      <name val="Arial"/>
      <b val="1"/>
      <color rgb="002E5FA3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b val="1"/>
      <color rgb="00111111"/>
      <sz val="10"/>
    </font>
    <font>
      <name val="Arial"/>
      <b val="1"/>
      <color rgb="001F3864"/>
      <sz val="10"/>
    </font>
    <font>
      <name val="Arial"/>
      <color rgb="001F3864"/>
      <sz val="9"/>
    </font>
    <font>
      <name val="Arial"/>
      <i val="1"/>
      <color rgb="00444444"/>
      <sz val="8"/>
    </font>
    <font>
      <name val="Arial"/>
      <i val="1"/>
      <color rgb="00666666"/>
      <sz val="8"/>
    </font>
    <font>
      <name val="Arial"/>
      <b val="1"/>
      <color rgb="00555555"/>
      <sz val="9"/>
    </font>
    <font>
      <name val="Arial"/>
      <i val="1"/>
      <color rgb="00888888"/>
      <sz val="9"/>
    </font>
    <font>
      <name val="Arial"/>
      <color rgb="00555555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8F9FA"/>
      </patternFill>
    </fill>
    <fill>
      <patternFill patternType="solid">
        <fgColor rgb="00375623"/>
      </patternFill>
    </fill>
    <fill>
      <patternFill patternType="solid">
        <fgColor rgb="007D6608"/>
      </patternFill>
    </fill>
    <fill>
      <patternFill patternType="solid">
        <fgColor rgb="000060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FFDCE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5" fontId="10" fillId="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165" fontId="11" fillId="9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165" fontId="12" fillId="1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14" fillId="8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center" vertical="center"/>
    </xf>
    <xf numFmtId="166" fontId="15" fillId="11" borderId="2" applyAlignment="1" pivotButton="0" quotePrefix="0" xfId="0">
      <alignment horizontal="right" vertical="center"/>
    </xf>
    <xf numFmtId="0" fontId="16" fillId="11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/>
    </xf>
    <xf numFmtId="0" fontId="18" fillId="10" borderId="2" applyAlignment="1" pivotButton="0" quotePrefix="0" xfId="0">
      <alignment horizontal="left" vertical="center"/>
    </xf>
    <xf numFmtId="0" fontId="19" fillId="12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left" vertical="center"/>
    </xf>
    <xf numFmtId="0" fontId="16" fillId="11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left" vertical="center"/>
    </xf>
    <xf numFmtId="0" fontId="16" fillId="13" borderId="2" applyAlignment="1" pivotButton="0" quotePrefix="0" xfId="0">
      <alignment horizontal="left" vertical="center"/>
    </xf>
    <xf numFmtId="0" fontId="16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right" vertical="center"/>
    </xf>
    <xf numFmtId="165" fontId="23" fillId="13" borderId="2" applyAlignment="1" pivotButton="0" quotePrefix="0" xfId="0">
      <alignment horizontal="right" vertical="center"/>
    </xf>
    <xf numFmtId="0" fontId="24" fillId="13" borderId="2" applyAlignment="1" pivotButton="0" quotePrefix="0" xfId="0">
      <alignment horizontal="left" vertical="center" wrapText="1"/>
    </xf>
    <xf numFmtId="0" fontId="25" fillId="13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15" fillId="10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center" vertical="center"/>
    </xf>
    <xf numFmtId="165" fontId="22" fillId="10" borderId="2" applyAlignment="1" pivotButton="0" quotePrefix="0" xfId="0">
      <alignment horizontal="right" vertical="center"/>
    </xf>
    <xf numFmtId="165" fontId="23" fillId="10" borderId="2" applyAlignment="1" pivotButton="0" quotePrefix="0" xfId="0">
      <alignment horizontal="right" vertical="center"/>
    </xf>
    <xf numFmtId="0" fontId="24" fillId="10" borderId="2" applyAlignment="1" pivotButton="0" quotePrefix="0" xfId="0">
      <alignment horizontal="left" vertical="center" wrapText="1"/>
    </xf>
    <xf numFmtId="0" fontId="25" fillId="10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26" fillId="14" borderId="2" applyAlignment="1" pivotButton="0" quotePrefix="0" xfId="0">
      <alignment horizontal="center" vertical="center"/>
    </xf>
    <xf numFmtId="0" fontId="27" fillId="13" borderId="2" applyAlignment="1" pivotButton="0" quotePrefix="0" xfId="0">
      <alignment horizontal="right" vertical="center"/>
    </xf>
    <xf numFmtId="0" fontId="27" fillId="10" borderId="2" applyAlignment="1" pivotButton="0" quotePrefix="0" xfId="0">
      <alignment horizontal="right" vertical="center"/>
    </xf>
    <xf numFmtId="0" fontId="28" fillId="9" borderId="2" applyAlignment="1" pivotButton="0" quotePrefix="0" xfId="0">
      <alignment horizontal="center" vertical="center"/>
    </xf>
    <xf numFmtId="0" fontId="0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22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1" ht="46" customHeight="1">
      <c r="A1" s="1" t="inlineStr">
        <is>
          <t>BARRO INDUSTRIES — GOVERNMENT &amp; INSTITUTIONAL BIDDINGS TRACKER</t>
        </is>
      </c>
    </row>
    <row r="2" ht="20" customHeight="1">
      <c r="A2" s="2" t="inlineStr">
        <is>
          <t>PhilGEPS &amp; Private Institutional Bids  |  Updated: June 16, 2026  |  All amounts in Philippine Peso (₱)</t>
        </is>
      </c>
    </row>
    <row r="3" ht="10" customHeight="1"/>
    <row r="4" ht="34" customHeight="1">
      <c r="B4" s="3" t="inlineStr">
        <is>
          <t>TOTAL
BIDS</t>
        </is>
      </c>
      <c r="D4" s="4" t="inlineStr">
        <is>
          <t>WON /
COMPLETED</t>
        </is>
      </c>
      <c r="F4" s="5" t="inlineStr">
        <is>
          <t>ACTIVE /
PENDING</t>
        </is>
      </c>
      <c r="H4" s="6" t="inlineStr">
        <is>
          <t>PROSPECTIVE</t>
        </is>
      </c>
      <c r="J4" s="7" t="inlineStr">
        <is>
          <t>WIN RATE</t>
        </is>
      </c>
    </row>
    <row r="5" ht="50" customHeight="1">
      <c r="B5" s="8">
        <f>COUNTA('Biddings Detail'!A3:A200)</f>
        <v/>
      </c>
      <c r="D5" s="9">
        <f>COUNTIF('Biddings Detail'!F3:F200,"Won / Completed")</f>
        <v/>
      </c>
      <c r="F5" s="10">
        <f>COUNTIF('Biddings Detail'!F3:F200,"Active / Pending")</f>
        <v/>
      </c>
      <c r="H5" s="11">
        <f>COUNTIF('Biddings Detail'!F3:F200,"Prospective")</f>
        <v/>
      </c>
      <c r="J5" s="12">
        <f>IFERROR(COUNTIF('Biddings Detail'!F3:F200,"Won / Completed")/COUNTA('Biddings Detail'!A3:A200),"-")</f>
        <v/>
      </c>
    </row>
    <row r="6" ht="14" customHeight="1"/>
    <row r="7" ht="8" customHeight="1"/>
    <row r="8" ht="26" customHeight="1">
      <c r="B8" s="13" t="inlineStr">
        <is>
          <t>TOTAL WON / COMPLETED VALUE (ABC ₱)</t>
        </is>
      </c>
      <c r="F8" s="14">
        <f>SUMIF('Biddings Detail'!F3:F200,"Won / Completed",'Biddings Detail'!H3:H200)</f>
        <v/>
      </c>
    </row>
    <row r="9" ht="26" customHeight="1">
      <c r="B9" s="15" t="inlineStr">
        <is>
          <t>TOTAL ACTIVE / PENDING (ABC ₱)</t>
        </is>
      </c>
      <c r="F9" s="16">
        <f>SUMIF('Biddings Detail'!F3:F200,"Active / Pending",'Biddings Detail'!H3:H200)</f>
        <v/>
      </c>
    </row>
    <row r="10" ht="26" customHeight="1">
      <c r="B10" s="17" t="inlineStr">
        <is>
          <t>TOTAL PROSPECTIVE PIPELINE (ABC ₱)</t>
        </is>
      </c>
      <c r="F10" s="18">
        <f>SUMIF('Biddings Detail'!F3:F200,"Prospective",'Biddings Detail'!H3:H200)</f>
        <v/>
      </c>
    </row>
    <row r="11" ht="10" customHeight="1"/>
    <row r="12" ht="26" customHeight="1">
      <c r="B12" s="19" t="inlineStr">
        <is>
          <t>STATUS BREAKDOWN</t>
        </is>
      </c>
    </row>
    <row r="13" ht="22" customHeight="1">
      <c r="B13" s="20" t="inlineStr">
        <is>
          <t>STATUS</t>
        </is>
      </c>
      <c r="E13" s="21" t="inlineStr">
        <is>
          <t>COUNT</t>
        </is>
      </c>
      <c r="F13" s="21" t="inlineStr">
        <is>
          <t>% SHARE</t>
        </is>
      </c>
      <c r="G13" s="22" t="inlineStr">
        <is>
          <t>ABC TOTAL (₱)</t>
        </is>
      </c>
      <c r="J13" s="21" t="inlineStr"/>
    </row>
    <row r="14" ht="20" customHeight="1">
      <c r="B14" s="23" t="inlineStr">
        <is>
          <t>Won / Completed</t>
        </is>
      </c>
      <c r="E14" s="24">
        <f>COUNTIF('Biddings Detail'!F3:F200,"Won / Completed")</f>
        <v/>
      </c>
      <c r="F14" s="25">
        <f>IFERROR(E14/COUNTA('Biddings Detail'!A3:A200),"-")</f>
        <v/>
      </c>
      <c r="G14" s="26">
        <f>SUMIF('Biddings Detail'!F3:F200,"Won / Completed",'Biddings Detail'!H3:H200)</f>
        <v/>
      </c>
      <c r="J14" s="27" t="inlineStr"/>
      <c r="K14" s="27" t="inlineStr"/>
    </row>
    <row r="15" ht="20" customHeight="1">
      <c r="B15" s="28" t="inlineStr">
        <is>
          <t>Active / Pending</t>
        </is>
      </c>
      <c r="E15" s="24">
        <f>COUNTIF('Biddings Detail'!F3:F200,"Active / Pending")</f>
        <v/>
      </c>
      <c r="F15" s="25">
        <f>IFERROR(E15/COUNTA('Biddings Detail'!A3:A200),"-")</f>
        <v/>
      </c>
      <c r="G15" s="26">
        <f>SUMIF('Biddings Detail'!F3:F200,"Active / Pending",'Biddings Detail'!H3:H200)</f>
        <v/>
      </c>
      <c r="J15" s="27" t="inlineStr"/>
      <c r="K15" s="27" t="inlineStr"/>
    </row>
    <row r="16" ht="20" customHeight="1">
      <c r="B16" s="29" t="inlineStr">
        <is>
          <t>Prospective</t>
        </is>
      </c>
      <c r="E16" s="24">
        <f>COUNTIF('Biddings Detail'!F3:F200,"Prospective")</f>
        <v/>
      </c>
      <c r="F16" s="25">
        <f>IFERROR(E16/COUNTA('Biddings Detail'!A3:A200),"-")</f>
        <v/>
      </c>
      <c r="G16" s="26">
        <f>SUMIF('Biddings Detail'!F3:F200,"Prospective",'Biddings Detail'!H3:H200)</f>
        <v/>
      </c>
      <c r="J16" s="27" t="inlineStr"/>
      <c r="K16" s="27" t="inlineStr"/>
    </row>
    <row r="17" ht="20" customHeight="1">
      <c r="B17" s="30" t="inlineStr">
        <is>
          <t>Lost / Failed</t>
        </is>
      </c>
      <c r="E17" s="24">
        <f>COUNTIF('Biddings Detail'!F3:F200,"Lost / Failed")</f>
        <v/>
      </c>
      <c r="F17" s="25">
        <f>IFERROR(E17/COUNTA('Biddings Detail'!A3:A200),"-")</f>
        <v/>
      </c>
      <c r="G17" s="26">
        <f>SUMIF('Biddings Detail'!F3:F200,"Lost / Failed",'Biddings Detail'!H3:H200)</f>
        <v/>
      </c>
      <c r="J17" s="27" t="inlineStr"/>
      <c r="K17" s="27" t="inlineStr"/>
    </row>
    <row r="18" ht="20" customHeight="1">
      <c r="B18" s="30" t="inlineStr">
        <is>
          <t>Disqualified</t>
        </is>
      </c>
      <c r="E18" s="24">
        <f>COUNTIF('Biddings Detail'!F3:F200,"Disqualified")</f>
        <v/>
      </c>
      <c r="F18" s="25">
        <f>IFERROR(E18/COUNTA('Biddings Detail'!A3:A200),"-")</f>
        <v/>
      </c>
      <c r="G18" s="26">
        <f>SUMIF('Biddings Detail'!F3:F200,"Disqualified",'Biddings Detail'!H3:H200)</f>
        <v/>
      </c>
      <c r="J18" s="27" t="inlineStr"/>
      <c r="K18" s="27" t="inlineStr"/>
    </row>
    <row r="20" ht="10" customHeight="1"/>
    <row r="21" ht="26" customHeight="1">
      <c r="B21" s="19" t="inlineStr">
        <is>
          <t>AGENCY / CLIENT BREAKDOWN</t>
        </is>
      </c>
    </row>
    <row r="22" ht="22" customHeight="1">
      <c r="B22" s="20" t="inlineStr">
        <is>
          <t>AGENCY / CLIENT</t>
        </is>
      </c>
      <c r="F22" s="21" t="inlineStr">
        <is>
          <t>BIDS</t>
        </is>
      </c>
      <c r="G22" s="21" t="inlineStr">
        <is>
          <t>STATUS</t>
        </is>
      </c>
      <c r="H22" s="22" t="inlineStr">
        <is>
          <t>ABC TOTAL (₱)</t>
        </is>
      </c>
    </row>
    <row r="23" ht="20" customHeight="1">
      <c r="B23" s="31" t="inlineStr">
        <is>
          <t>DMMMSU</t>
        </is>
      </c>
      <c r="F23" s="24">
        <f>COUNTIF('Biddings Detail'!A3:A200,"DMMMSU")</f>
        <v/>
      </c>
      <c r="G23" s="32" t="inlineStr"/>
      <c r="H23" s="26">
        <f>SUMIF('Biddings Detail'!A3:A200,"DMMMSU",'Biddings Detail'!H3:H200)</f>
        <v/>
      </c>
      <c r="K23" s="27" t="inlineStr"/>
    </row>
    <row r="24" ht="20" customHeight="1">
      <c r="B24" s="33" t="inlineStr">
        <is>
          <t>ISPSC</t>
        </is>
      </c>
      <c r="F24" s="24">
        <f>COUNTIF('Biddings Detail'!A3:A200,"ISPSC")</f>
        <v/>
      </c>
      <c r="G24" s="32" t="inlineStr"/>
      <c r="H24" s="26">
        <f>SUMIF('Biddings Detail'!A3:A200,"ISPSC",'Biddings Detail'!H3:H200)</f>
        <v/>
      </c>
      <c r="K24" s="27" t="inlineStr"/>
    </row>
    <row r="25" ht="20" customHeight="1">
      <c r="B25" s="31" t="inlineStr">
        <is>
          <t>DepEd</t>
        </is>
      </c>
      <c r="F25" s="24">
        <f>COUNTIF('Biddings Detail'!A3:A200,"DepEd")</f>
        <v/>
      </c>
      <c r="G25" s="32" t="inlineStr"/>
      <c r="H25" s="26">
        <f>SUMIF('Biddings Detail'!A3:A200,"DepEd",'Biddings Detail'!H3:H200)</f>
        <v/>
      </c>
      <c r="K25" s="27" t="inlineStr"/>
    </row>
    <row r="26" ht="20" customHeight="1">
      <c r="B26" s="33" t="inlineStr">
        <is>
          <t>ITRMC</t>
        </is>
      </c>
      <c r="F26" s="24">
        <f>COUNTIF('Biddings Detail'!A3:A200,"ITRMC")</f>
        <v/>
      </c>
      <c r="G26" s="32" t="inlineStr"/>
      <c r="H26" s="26">
        <f>SUMIF('Biddings Detail'!A3:A200,"ITRMC",'Biddings Detail'!H3:H200)</f>
        <v/>
      </c>
      <c r="K26" s="27" t="inlineStr"/>
    </row>
    <row r="27" ht="20" customHeight="1">
      <c r="B27" s="31" t="inlineStr">
        <is>
          <t>BSU</t>
        </is>
      </c>
      <c r="F27" s="24">
        <f>COUNTIF('Biddings Detail'!A3:A200,"BSU")</f>
        <v/>
      </c>
      <c r="G27" s="32" t="inlineStr"/>
      <c r="H27" s="26">
        <f>SUMIF('Biddings Detail'!A3:A200,"BSU",'Biddings Detail'!H3:H200)</f>
        <v/>
      </c>
      <c r="K27" s="27" t="inlineStr"/>
    </row>
    <row r="28" ht="20" customHeight="1">
      <c r="B28" s="33" t="inlineStr">
        <is>
          <t>Bethany Hospital</t>
        </is>
      </c>
      <c r="F28" s="24">
        <f>COUNTIF('Biddings Detail'!A3:A200,"Bethany Hospital")</f>
        <v/>
      </c>
      <c r="G28" s="32" t="inlineStr"/>
      <c r="H28" s="26">
        <f>SUMIF('Biddings Detail'!A3:A200,"Bethany Hospital",'Biddings Detail'!H3:H200)</f>
        <v/>
      </c>
      <c r="K28" s="27" t="inlineStr"/>
    </row>
    <row r="29" ht="20" customHeight="1">
      <c r="B29" s="31" t="inlineStr">
        <is>
          <t>Candelaria Dist. Hospital</t>
        </is>
      </c>
      <c r="F29" s="24">
        <f>COUNTIF('Biddings Detail'!A3:A200,"Candelaria Dist. Hospital")</f>
        <v/>
      </c>
      <c r="G29" s="32" t="inlineStr"/>
      <c r="H29" s="26">
        <f>SUMIF('Biddings Detail'!A3:A200,"Candelaria Dist. Hospital",'Biddings Detail'!H3:H200)</f>
        <v/>
      </c>
      <c r="K29" s="27" t="inlineStr"/>
    </row>
    <row r="30" ht="20" customHeight="1">
      <c r="B30" s="33" t="inlineStr">
        <is>
          <t>Kings College</t>
        </is>
      </c>
      <c r="F30" s="24">
        <f>COUNTIF('Biddings Detail'!A3:A200,"Kings College")</f>
        <v/>
      </c>
      <c r="G30" s="32" t="inlineStr"/>
      <c r="H30" s="26">
        <f>SUMIF('Biddings Detail'!A3:A200,"Kings College",'Biddings Detail'!H3:H200)</f>
        <v/>
      </c>
      <c r="K30" s="27" t="inlineStr"/>
    </row>
    <row r="31" ht="20" customHeight="1">
      <c r="B31" s="31" t="inlineStr">
        <is>
          <t>El Cielito Hotel</t>
        </is>
      </c>
      <c r="F31" s="24">
        <f>COUNTIF('Biddings Detail'!A3:A200,"El Cielito Hotel")</f>
        <v/>
      </c>
      <c r="G31" s="32" t="inlineStr"/>
      <c r="H31" s="26">
        <f>SUMIF('Biddings Detail'!A3:A200,"El Cielito Hotel",'Biddings Detail'!H3:H200)</f>
        <v/>
      </c>
      <c r="K31" s="27" t="inlineStr"/>
    </row>
    <row r="32" ht="20" customHeight="1">
      <c r="B32" s="33" t="inlineStr">
        <is>
          <t>Chateau De Maisons</t>
        </is>
      </c>
      <c r="F32" s="24">
        <f>COUNTIF('Biddings Detail'!A3:A200,"Chateau De Maisons")</f>
        <v/>
      </c>
      <c r="G32" s="32" t="inlineStr"/>
      <c r="H32" s="26">
        <f>SUMIF('Biddings Detail'!A3:A200,"Chateau De Maisons",'Biddings Detail'!H3:H200)</f>
        <v/>
      </c>
      <c r="K32" s="27" t="inlineStr"/>
    </row>
    <row r="33" ht="20" customHeight="1">
      <c r="B33" s="31" t="inlineStr">
        <is>
          <t>Lorma Colleges</t>
        </is>
      </c>
      <c r="F33" s="24">
        <f>COUNTIF('Biddings Detail'!A3:A200,"Lorma Colleges")</f>
        <v/>
      </c>
      <c r="G33" s="32" t="inlineStr"/>
      <c r="H33" s="26">
        <f>SUMIF('Biddings Detail'!A3:A200,"Lorma Colleges",'Biddings Detail'!H3:H200)</f>
        <v/>
      </c>
      <c r="K33" s="27" t="inlineStr"/>
    </row>
    <row r="34" ht="20" customHeight="1">
      <c r="B34" s="33" t="inlineStr">
        <is>
          <t>J&amp;V</t>
        </is>
      </c>
      <c r="F34" s="24">
        <f>COUNTIF('Biddings Detail'!A3:A200,"J&amp;V")</f>
        <v/>
      </c>
      <c r="G34" s="32" t="inlineStr"/>
      <c r="H34" s="26">
        <f>SUMIF('Biddings Detail'!A3:A200,"J&amp;V",'Biddings Detail'!H3:H200)</f>
        <v/>
      </c>
      <c r="K34" s="27" t="inlineStr"/>
    </row>
    <row r="35" ht="20" customHeight="1">
      <c r="B35" s="31" t="inlineStr">
        <is>
          <t>BSBT</t>
        </is>
      </c>
      <c r="F35" s="24">
        <f>COUNTIF('Biddings Detail'!A3:A200,"BSBT")</f>
        <v/>
      </c>
      <c r="G35" s="32" t="inlineStr"/>
      <c r="H35" s="26">
        <f>SUMIF('Biddings Detail'!A3:A200,"BSBT",'Biddings Detail'!H3:H200)</f>
        <v/>
      </c>
      <c r="K35" s="27" t="inlineStr"/>
    </row>
    <row r="36" ht="20" customHeight="1">
      <c r="B36" s="33" t="inlineStr">
        <is>
          <t>Ridgewood Hotel</t>
        </is>
      </c>
      <c r="F36" s="24">
        <f>COUNTIF('Biddings Detail'!A3:A200,"Ridgewood Hotel")</f>
        <v/>
      </c>
      <c r="G36" s="32" t="inlineStr"/>
      <c r="H36" s="26">
        <f>SUMIF('Biddings Detail'!A3:A200,"Ridgewood Hotel",'Biddings Detail'!H3:H200)</f>
        <v/>
      </c>
      <c r="K36" s="27" t="inlineStr"/>
    </row>
    <row r="37" ht="20" customHeight="1">
      <c r="B37" s="31" t="inlineStr">
        <is>
          <t>Chimichanga Restaurant</t>
        </is>
      </c>
      <c r="F37" s="24">
        <f>COUNTIF('Biddings Detail'!A3:A200,"Chimichanga Restaurant")</f>
        <v/>
      </c>
      <c r="G37" s="32" t="inlineStr"/>
      <c r="H37" s="26">
        <f>SUMIF('Biddings Detail'!A3:A200,"Chimichanga Restaurant",'Biddings Detail'!H3:H200)</f>
        <v/>
      </c>
      <c r="K37" s="27" t="inlineStr"/>
    </row>
    <row r="38" ht="20" customHeight="1">
      <c r="B38" s="33" t="inlineStr">
        <is>
          <t>Jackie Red Ausa</t>
        </is>
      </c>
      <c r="F38" s="24">
        <f>COUNTIF('Biddings Detail'!A3:A200,"Jackie Red Ausa")</f>
        <v/>
      </c>
      <c r="G38" s="32" t="inlineStr"/>
      <c r="H38" s="26">
        <f>SUMIF('Biddings Detail'!A3:A200,"Jackie Red Ausa",'Biddings Detail'!H3:H200)</f>
        <v/>
      </c>
      <c r="K38" s="27" t="inlineStr"/>
    </row>
  </sheetData>
  <mergeCells count="46">
    <mergeCell ref="F4:G4"/>
    <mergeCell ref="H22:K22"/>
    <mergeCell ref="B9:E9"/>
    <mergeCell ref="B14:D14"/>
    <mergeCell ref="J5:K5"/>
    <mergeCell ref="G13:I13"/>
    <mergeCell ref="B37:E37"/>
    <mergeCell ref="B30:E30"/>
    <mergeCell ref="B17:D17"/>
    <mergeCell ref="B13:D13"/>
    <mergeCell ref="B33:E33"/>
    <mergeCell ref="F8:K8"/>
    <mergeCell ref="H4:I4"/>
    <mergeCell ref="B24:E24"/>
    <mergeCell ref="J13:K13"/>
    <mergeCell ref="B36:E36"/>
    <mergeCell ref="B32:E32"/>
    <mergeCell ref="A2:L2"/>
    <mergeCell ref="B26:E26"/>
    <mergeCell ref="B35:E35"/>
    <mergeCell ref="F5:G5"/>
    <mergeCell ref="F9:K9"/>
    <mergeCell ref="B25:E25"/>
    <mergeCell ref="B15:D15"/>
    <mergeCell ref="B22:E22"/>
    <mergeCell ref="B31:E31"/>
    <mergeCell ref="J4:K4"/>
    <mergeCell ref="B27:E27"/>
    <mergeCell ref="B21:K21"/>
    <mergeCell ref="B12:K12"/>
    <mergeCell ref="D4:E4"/>
    <mergeCell ref="B16:D16"/>
    <mergeCell ref="B23:E23"/>
    <mergeCell ref="B8:E8"/>
    <mergeCell ref="F10:K10"/>
    <mergeCell ref="B5:C5"/>
    <mergeCell ref="A1:L1"/>
    <mergeCell ref="D5:E5"/>
    <mergeCell ref="B38:E38"/>
    <mergeCell ref="B18:D18"/>
    <mergeCell ref="B29:E29"/>
    <mergeCell ref="H5:I5"/>
    <mergeCell ref="B34:E34"/>
    <mergeCell ref="B10:E10"/>
    <mergeCell ref="B28:E2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8" customWidth="1" min="4" max="4"/>
    <col width="38" customWidth="1" min="5" max="5"/>
    <col width="7" customWidth="1" min="6" max="6"/>
    <col width="16" customWidth="1" min="7" max="7"/>
    <col width="10" customWidth="1" min="8" max="8"/>
    <col width="18" customWidth="1" min="9" max="9"/>
    <col width="17" customWidth="1" min="10" max="10"/>
    <col width="38" customWidth="1" min="11" max="11"/>
    <col width="36" customWidth="1" min="12" max="12"/>
    <col width="14" customWidth="1" min="13" max="13"/>
    <col width="14" customWidth="1" min="14" max="14"/>
  </cols>
  <sheetData>
    <row r="1" ht="36" customHeight="1">
      <c r="A1" s="34" t="inlineStr">
        <is>
          <t>BARRO INDUSTRIES — GOVERNMENT &amp; INSTITUTIONAL BIDDINGS DETAIL</t>
        </is>
      </c>
    </row>
    <row r="2" ht="30" customHeight="1">
      <c r="A2" s="6" t="inlineStr">
        <is>
          <t>#</t>
        </is>
      </c>
      <c r="B2" s="6" t="inlineStr">
        <is>
          <t>Agency / Client</t>
        </is>
      </c>
      <c r="C2" s="6" t="inlineStr">
        <is>
          <t>Location</t>
        </is>
      </c>
      <c r="D2" s="6" t="inlineStr">
        <is>
          <t>Category / Lot</t>
        </is>
      </c>
      <c r="E2" s="6" t="inlineStr">
        <is>
          <t>Item Description</t>
        </is>
      </c>
      <c r="F2" s="6" t="inlineStr">
        <is>
          <t>Year</t>
        </is>
      </c>
      <c r="G2" s="6" t="inlineStr">
        <is>
          <t>Status</t>
        </is>
      </c>
      <c r="H2" s="6" t="inlineStr">
        <is>
          <t>Outcome</t>
        </is>
      </c>
      <c r="I2" s="6" t="inlineStr">
        <is>
          <t>ABC / Contract Amount (₱)</t>
        </is>
      </c>
      <c r="J2" s="6" t="inlineStr">
        <is>
          <t>Bid Price Submitted (₱)</t>
        </is>
      </c>
      <c r="K2" s="6" t="inlineStr">
        <is>
          <t>Documents on File</t>
        </is>
      </c>
      <c r="L2" s="6" t="inlineStr">
        <is>
          <t>Remarks / Notes</t>
        </is>
      </c>
      <c r="M2" s="6" t="inlineStr">
        <is>
          <t>Date Submitted</t>
        </is>
      </c>
      <c r="N2" s="6" t="inlineStr">
        <is>
          <t>Last Updated</t>
        </is>
      </c>
    </row>
    <row r="3" ht="36" customHeight="1">
      <c r="A3" s="35" t="n">
        <v>1</v>
      </c>
      <c r="B3" s="36" t="inlineStr">
        <is>
          <t>DMMMSU</t>
        </is>
      </c>
      <c r="C3" s="37" t="inlineStr">
        <is>
          <t>San Fernando, La Union</t>
        </is>
      </c>
      <c r="D3" s="37" t="inlineStr">
        <is>
          <t>Kitchen Equipment</t>
        </is>
      </c>
      <c r="E3" s="38" t="inlineStr">
        <is>
          <t>Supply &amp; Fabrication of Kitchen Equipment (various lots)</t>
        </is>
      </c>
      <c r="F3" s="39" t="n">
        <v>2024</v>
      </c>
      <c r="G3" s="40" t="inlineStr">
        <is>
          <t>Won / Completed</t>
        </is>
      </c>
      <c r="H3" s="40" t="inlineStr">
        <is>
          <t>WON</t>
        </is>
      </c>
      <c r="I3" s="41" t="n">
        <v>13494887</v>
      </c>
      <c r="J3" s="42" t="n">
        <v>13494887</v>
      </c>
      <c r="K3" s="43" t="inlineStr">
        <is>
          <t>Project Portfolio DOCX, Completion Docs</t>
        </is>
      </c>
      <c r="L3" s="44" t="inlineStr">
        <is>
          <t>Kitchen equipment portfolio; completed and delivered</t>
        </is>
      </c>
      <c r="M3" s="45" t="n"/>
      <c r="N3" s="45" t="n"/>
    </row>
    <row r="4" ht="36" customHeight="1">
      <c r="A4" s="46" t="n">
        <v>2</v>
      </c>
      <c r="B4" s="47" t="inlineStr">
        <is>
          <t>DMMMSU</t>
        </is>
      </c>
      <c r="C4" s="48" t="inlineStr">
        <is>
          <t>San Fernando, La Union</t>
        </is>
      </c>
      <c r="D4" s="48" t="inlineStr">
        <is>
          <t>Appliances</t>
        </is>
      </c>
      <c r="E4" s="49" t="inlineStr">
        <is>
          <t>Supply of Appliances (AC units, refrigerators, etc.)</t>
        </is>
      </c>
      <c r="F4" s="50" t="n">
        <v>2024</v>
      </c>
      <c r="G4" s="40" t="inlineStr">
        <is>
          <t>Won / Completed</t>
        </is>
      </c>
      <c r="H4" s="40" t="inlineStr">
        <is>
          <t>WON</t>
        </is>
      </c>
      <c r="I4" s="51" t="n">
        <v>1709634</v>
      </c>
      <c r="J4" s="52" t="n">
        <v>1709634</v>
      </c>
      <c r="K4" s="53" t="inlineStr">
        <is>
          <t>Project Portfolio DOCX</t>
        </is>
      </c>
      <c r="L4" s="54" t="inlineStr">
        <is>
          <t>Part of same portfolio; delivered</t>
        </is>
      </c>
      <c r="M4" s="45" t="n"/>
      <c r="N4" s="45" t="n"/>
    </row>
    <row r="5" ht="36" customHeight="1">
      <c r="A5" s="35" t="n">
        <v>3</v>
      </c>
      <c r="B5" s="36" t="inlineStr">
        <is>
          <t>ISPSC</t>
        </is>
      </c>
      <c r="C5" s="37" t="inlineStr">
        <is>
          <t>Ilocos Sur</t>
        </is>
      </c>
      <c r="D5" s="37" t="inlineStr">
        <is>
          <t>Machinery &amp; Equipment</t>
        </is>
      </c>
      <c r="E5" s="38" t="inlineStr">
        <is>
          <t>Supply of Machinery &amp; Equipment (various kitchen/lab items)</t>
        </is>
      </c>
      <c r="F5" s="39" t="n">
        <v>2025</v>
      </c>
      <c r="G5" s="40" t="inlineStr">
        <is>
          <t>Won / Completed</t>
        </is>
      </c>
      <c r="H5" s="40" t="inlineStr">
        <is>
          <t>WON</t>
        </is>
      </c>
      <c r="I5" s="41" t="n">
        <v>5157746.28</v>
      </c>
      <c r="J5" s="42" t="n">
        <v>5100000</v>
      </c>
      <c r="K5" s="43" t="inlineStr">
        <is>
          <t>Notice of Award, MOA, Job Order, NTP, PhilGEPS Docs</t>
        </is>
      </c>
      <c r="L5" s="44" t="inlineStr">
        <is>
          <t>ABC ₱5,157,746.28; submitted ₱5,100,000; full PhilGEPS docs on file; MOA + NTP signed</t>
        </is>
      </c>
      <c r="M5" s="45" t="n"/>
      <c r="N5" s="45" t="n"/>
    </row>
    <row r="6" ht="36" customHeight="1">
      <c r="A6" s="46" t="n">
        <v>4</v>
      </c>
      <c r="B6" s="47" t="inlineStr">
        <is>
          <t>ISPSC</t>
        </is>
      </c>
      <c r="C6" s="48" t="inlineStr">
        <is>
          <t>Ilocos Sur</t>
        </is>
      </c>
      <c r="D6" s="48" t="inlineStr">
        <is>
          <t>Kitchen Fixtures</t>
        </is>
      </c>
      <c r="E6" s="49" t="inlineStr">
        <is>
          <t>Supply &amp; Installation of Kitchen Fixtures and Equipment</t>
        </is>
      </c>
      <c r="F6" s="50" t="n">
        <v>2025</v>
      </c>
      <c r="G6" s="55" t="inlineStr">
        <is>
          <t>Active / Pending</t>
        </is>
      </c>
      <c r="H6" s="55" t="inlineStr">
        <is>
          <t>Pending</t>
        </is>
      </c>
      <c r="I6" s="51" t="n">
        <v>5157746.28</v>
      </c>
      <c r="J6" s="52" t="n">
        <v>5100000</v>
      </c>
      <c r="K6" s="53" t="inlineStr">
        <is>
          <t>Bid Documents + Technical Specs</t>
        </is>
      </c>
      <c r="L6" s="54" t="inlineStr">
        <is>
          <t>Bid submitted; awaiting award; same ABC as machinery lot</t>
        </is>
      </c>
      <c r="M6" s="45" t="n"/>
      <c r="N6" s="45" t="n"/>
    </row>
    <row r="7" ht="36" customHeight="1">
      <c r="A7" s="35" t="n">
        <v>5</v>
      </c>
      <c r="B7" s="36" t="inlineStr">
        <is>
          <t>DepEd</t>
        </is>
      </c>
      <c r="C7" s="37" t="inlineStr">
        <is>
          <t>Baguio City</t>
        </is>
      </c>
      <c r="D7" s="37" t="inlineStr">
        <is>
          <t>Laboratory Equipment</t>
        </is>
      </c>
      <c r="E7" s="38" t="inlineStr">
        <is>
          <t>Supply of School Laboratory &amp; Science Equipment</t>
        </is>
      </c>
      <c r="F7" s="39" t="n">
        <v>2024</v>
      </c>
      <c r="G7" s="40" t="inlineStr">
        <is>
          <t>Won / Completed</t>
        </is>
      </c>
      <c r="H7" s="40" t="inlineStr">
        <is>
          <t>WON</t>
        </is>
      </c>
      <c r="I7" s="41" t="n">
        <v>1196487</v>
      </c>
      <c r="J7" s="42" t="n">
        <v>1196487</v>
      </c>
      <c r="K7" s="43" t="inlineStr">
        <is>
          <t>Market Survey, PO-3277 (Narciso), PO Signed (DepEd)</t>
        </is>
      </c>
      <c r="L7" s="44" t="inlineStr">
        <is>
          <t>Two signed POs on file; purchase order awarded Nov 18, 2024</t>
        </is>
      </c>
      <c r="M7" s="45" t="n"/>
      <c r="N7" s="45" t="n"/>
    </row>
    <row r="8" ht="36" customHeight="1">
      <c r="A8" s="46" t="n">
        <v>6</v>
      </c>
      <c r="B8" s="47" t="inlineStr">
        <is>
          <t>ITRMC</t>
        </is>
      </c>
      <c r="C8" s="48" t="inlineStr">
        <is>
          <t>La Union</t>
        </is>
      </c>
      <c r="D8" s="48" t="inlineStr">
        <is>
          <t>Kitchen Equipment</t>
        </is>
      </c>
      <c r="E8" s="49" t="inlineStr">
        <is>
          <t>Supply &amp; Fabrication of Kitchen Equipment</t>
        </is>
      </c>
      <c r="F8" s="50" t="n">
        <v>2025</v>
      </c>
      <c r="G8" s="40" t="inlineStr">
        <is>
          <t>Won / Completed</t>
        </is>
      </c>
      <c r="H8" s="40" t="inlineStr">
        <is>
          <t>WON</t>
        </is>
      </c>
      <c r="I8" s="51" t="n">
        <v>998000</v>
      </c>
      <c r="J8" s="52" t="n">
        <v>998000</v>
      </c>
      <c r="K8" s="53" t="inlineStr">
        <is>
          <t>Multiple Quotations, PO 2026-01-0040, Canvas Forms, Job Order, Site Photos</t>
        </is>
      </c>
      <c r="L8" s="54" t="inlineStr">
        <is>
          <t>PO 2026-01-0040 issued Jan 2026; site photos Dec 2025; finalized</t>
        </is>
      </c>
      <c r="M8" s="45" t="n"/>
      <c r="N8" s="45" t="n"/>
    </row>
    <row r="9" ht="36" customHeight="1">
      <c r="A9" s="35" t="n">
        <v>7</v>
      </c>
      <c r="B9" s="36" t="inlineStr">
        <is>
          <t>BSU</t>
        </is>
      </c>
      <c r="C9" s="37" t="inlineStr">
        <is>
          <t>La Trinidad, Benguet</t>
        </is>
      </c>
      <c r="D9" s="37" t="inlineStr">
        <is>
          <t>Equipment Supply</t>
        </is>
      </c>
      <c r="E9" s="38" t="inlineStr">
        <is>
          <t>Supply of Various Equipment (RFQ)</t>
        </is>
      </c>
      <c r="F9" s="39" t="n">
        <v>2026</v>
      </c>
      <c r="G9" s="55" t="inlineStr">
        <is>
          <t>Active / Pending</t>
        </is>
      </c>
      <c r="H9" s="55" t="inlineStr">
        <is>
          <t>Pending</t>
        </is>
      </c>
      <c r="I9" s="41" t="n">
        <v>106000</v>
      </c>
      <c r="J9" s="42" t="n">
        <v>106000</v>
      </c>
      <c r="K9" s="43" t="inlineStr">
        <is>
          <t>RFQ Quotation 2026-01-26</t>
        </is>
      </c>
      <c r="L9" s="44" t="inlineStr">
        <is>
          <t>RFQ submitted Jan 26, 2026; awaiting award</t>
        </is>
      </c>
      <c r="M9" s="45" t="n"/>
      <c r="N9" s="45" t="n"/>
    </row>
    <row r="10" ht="36" customHeight="1">
      <c r="A10" s="46" t="n">
        <v>8</v>
      </c>
      <c r="B10" s="47" t="inlineStr">
        <is>
          <t>Bethany Hospital</t>
        </is>
      </c>
      <c r="C10" s="48" t="inlineStr">
        <is>
          <t>San Fernando, La Union</t>
        </is>
      </c>
      <c r="D10" s="48" t="inlineStr">
        <is>
          <t>Kitchen &amp; Systems</t>
        </is>
      </c>
      <c r="E10" s="49" t="inlineStr">
        <is>
          <t>Hospital Kitchen Equipment, Exhaust, Trolleys, and Site Works</t>
        </is>
      </c>
      <c r="F10" s="50" t="n">
        <v>2024</v>
      </c>
      <c r="G10" s="40" t="inlineStr">
        <is>
          <t>Won / Completed</t>
        </is>
      </c>
      <c r="H10" s="40" t="inlineStr">
        <is>
          <t>WON</t>
        </is>
      </c>
      <c r="I10" s="51" t="n">
        <v>1656300</v>
      </c>
      <c r="J10" s="52" t="n">
        <v>1656300</v>
      </c>
      <c r="K10" s="53" t="inlineStr">
        <is>
          <t>Contract, Billing Invoice, Final Billing, Multiple Quotations, Job Order, Site Photos</t>
        </is>
      </c>
      <c r="L10" s="54" t="inlineStr">
        <is>
          <t>Completed multi-phase project; final billing issued</t>
        </is>
      </c>
      <c r="M10" s="45" t="n"/>
      <c r="N10" s="45" t="n"/>
    </row>
    <row r="11" ht="36" customHeight="1">
      <c r="A11" s="35" t="n">
        <v>9</v>
      </c>
      <c r="B11" s="36" t="inlineStr">
        <is>
          <t>Candelaria Dist. Hospital</t>
        </is>
      </c>
      <c r="C11" s="37" t="inlineStr">
        <is>
          <t>Zambales</t>
        </is>
      </c>
      <c r="D11" s="37" t="inlineStr">
        <is>
          <t>Kitchen Equipment</t>
        </is>
      </c>
      <c r="E11" s="38" t="inlineStr">
        <is>
          <t>Hospital Kitchen Equipment &amp; Fabrication (3 Sections)</t>
        </is>
      </c>
      <c r="F11" s="39" t="n">
        <v>2025</v>
      </c>
      <c r="G11" s="55" t="inlineStr">
        <is>
          <t>Active / Pending</t>
        </is>
      </c>
      <c r="H11" s="55" t="inlineStr">
        <is>
          <t>Pending</t>
        </is>
      </c>
      <c r="I11" s="41" t="n">
        <v>2292000</v>
      </c>
      <c r="J11" s="42" t="n">
        <v>2292000</v>
      </c>
      <c r="K11" s="43" t="inlineStr">
        <is>
          <t>Revised Quotation Parts 1 &amp; 2 (DOCX + PDF)</t>
        </is>
      </c>
      <c r="L11" s="44" t="inlineStr">
        <is>
          <t>Proposal submitted; 3 sections; awaiting award</t>
        </is>
      </c>
      <c r="M11" s="45" t="n"/>
      <c r="N11" s="45" t="n"/>
    </row>
    <row r="12" ht="36" customHeight="1">
      <c r="A12" s="46" t="n">
        <v>10</v>
      </c>
      <c r="B12" s="47" t="inlineStr">
        <is>
          <t>Kings College</t>
        </is>
      </c>
      <c r="C12" s="48" t="inlineStr">
        <is>
          <t>La Trinidad, Benguet</t>
        </is>
      </c>
      <c r="D12" s="48" t="inlineStr">
        <is>
          <t>HVAC / Hood Systems</t>
        </is>
      </c>
      <c r="E12" s="49" t="inlineStr">
        <is>
          <t>Fabrication &amp; Repair of Hood and Duct System</t>
        </is>
      </c>
      <c r="F12" s="50" t="n">
        <v>2024</v>
      </c>
      <c r="G12" s="55" t="inlineStr">
        <is>
          <t>Active / Pending</t>
        </is>
      </c>
      <c r="H12" s="55" t="inlineStr">
        <is>
          <t>Pending</t>
        </is>
      </c>
      <c r="I12" s="51" t="n">
        <v>199000</v>
      </c>
      <c r="J12" s="52" t="n">
        <v>199000</v>
      </c>
      <c r="K12" s="53" t="inlineStr">
        <is>
          <t>Quotation (DOCX, PDF)</t>
        </is>
      </c>
      <c r="L12" s="54" t="inlineStr">
        <is>
          <t>Quotation submitted; awaiting decision</t>
        </is>
      </c>
      <c r="M12" s="45" t="n"/>
      <c r="N12" s="45" t="n"/>
    </row>
    <row r="13" ht="36" customHeight="1">
      <c r="A13" s="35" t="n">
        <v>11</v>
      </c>
      <c r="B13" s="36" t="inlineStr">
        <is>
          <t>El Cielito Hotel</t>
        </is>
      </c>
      <c r="C13" s="37" t="inlineStr">
        <is>
          <t>Baguio City</t>
        </is>
      </c>
      <c r="D13" s="37" t="inlineStr">
        <is>
          <t>Ventilation System</t>
        </is>
      </c>
      <c r="E13" s="38" t="inlineStr">
        <is>
          <t>Supply &amp; Installation of Exhaust and Fresh Air System</t>
        </is>
      </c>
      <c r="F13" s="39" t="n">
        <v>2024</v>
      </c>
      <c r="G13" s="56" t="inlineStr">
        <is>
          <t>Prospective</t>
        </is>
      </c>
      <c r="H13" s="57" t="inlineStr">
        <is>
          <t>N/A</t>
        </is>
      </c>
      <c r="I13" s="41" t="n">
        <v>1428800</v>
      </c>
      <c r="J13" s="58" t="inlineStr">
        <is>
          <t>—</t>
        </is>
      </c>
      <c r="K13" s="43" t="inlineStr">
        <is>
          <t>Price Quotation (DOCX)</t>
        </is>
      </c>
      <c r="L13" s="44" t="inlineStr">
        <is>
          <t>Large ventilation project; quotation issued; awaiting PO</t>
        </is>
      </c>
      <c r="M13" s="45" t="n"/>
      <c r="N13" s="45" t="n"/>
    </row>
    <row r="14" ht="36" customHeight="1">
      <c r="A14" s="46" t="n">
        <v>12</v>
      </c>
      <c r="B14" s="47" t="inlineStr">
        <is>
          <t>Chateau De Maisons</t>
        </is>
      </c>
      <c r="C14" s="48" t="inlineStr">
        <is>
          <t>Baguio City</t>
        </is>
      </c>
      <c r="D14" s="48" t="inlineStr">
        <is>
          <t>Kitchen Design</t>
        </is>
      </c>
      <c r="E14" s="49" t="inlineStr">
        <is>
          <t>Kitchen Equipment Layout and Design</t>
        </is>
      </c>
      <c r="F14" s="50" t="n">
        <v>2025</v>
      </c>
      <c r="G14" s="56" t="inlineStr">
        <is>
          <t>Prospective</t>
        </is>
      </c>
      <c r="H14" s="57" t="inlineStr">
        <is>
          <t>N/A</t>
        </is>
      </c>
      <c r="I14" s="59" t="inlineStr">
        <is>
          <t>TBD</t>
        </is>
      </c>
      <c r="J14" s="59" t="inlineStr">
        <is>
          <t>—</t>
        </is>
      </c>
      <c r="K14" s="53" t="inlineStr">
        <is>
          <t>AutoCAD DWG Plan</t>
        </is>
      </c>
      <c r="L14" s="54" t="inlineStr">
        <is>
          <t>Design phase; no bid submitted yet</t>
        </is>
      </c>
      <c r="M14" s="45" t="n"/>
      <c r="N14" s="45" t="n"/>
    </row>
    <row r="15" ht="36" customHeight="1">
      <c r="A15" s="35" t="n">
        <v>13</v>
      </c>
      <c r="B15" s="36" t="inlineStr">
        <is>
          <t>Lorma Colleges</t>
        </is>
      </c>
      <c r="C15" s="37" t="inlineStr">
        <is>
          <t>San Fernando, La Union</t>
        </is>
      </c>
      <c r="D15" s="37" t="inlineStr">
        <is>
          <t>Kitchen Equipment</t>
        </is>
      </c>
      <c r="E15" s="38" t="inlineStr">
        <is>
          <t>Kitchen Equipment Supply (Preliminary Quotation)</t>
        </is>
      </c>
      <c r="F15" s="39" t="n">
        <v>2025</v>
      </c>
      <c r="G15" s="56" t="inlineStr">
        <is>
          <t>Prospective</t>
        </is>
      </c>
      <c r="H15" s="57" t="inlineStr">
        <is>
          <t>N/A</t>
        </is>
      </c>
      <c r="I15" s="58" t="inlineStr">
        <is>
          <t>TBD</t>
        </is>
      </c>
      <c r="J15" s="58" t="inlineStr">
        <is>
          <t>—</t>
        </is>
      </c>
      <c r="K15" s="43" t="inlineStr">
        <is>
          <t>Preliminary Quotation (XLSX)</t>
        </is>
      </c>
      <c r="L15" s="44" t="inlineStr">
        <is>
          <t>Preliminary stage; formal bid not yet submitted</t>
        </is>
      </c>
      <c r="M15" s="45" t="n"/>
      <c r="N15" s="45" t="n"/>
    </row>
    <row r="16" ht="36" customHeight="1">
      <c r="A16" s="46" t="n">
        <v>14</v>
      </c>
      <c r="B16" s="47" t="inlineStr">
        <is>
          <t>J&amp;V</t>
        </is>
      </c>
      <c r="C16" s="48" t="inlineStr">
        <is>
          <t>Unknown</t>
        </is>
      </c>
      <c r="D16" s="48" t="inlineStr">
        <is>
          <t>Kitchen Design</t>
        </is>
      </c>
      <c r="E16" s="49" t="inlineStr">
        <is>
          <t>Kitchen Layout Design</t>
        </is>
      </c>
      <c r="F16" s="50" t="n">
        <v>2025</v>
      </c>
      <c r="G16" s="56" t="inlineStr">
        <is>
          <t>Prospective</t>
        </is>
      </c>
      <c r="H16" s="57" t="inlineStr">
        <is>
          <t>N/A</t>
        </is>
      </c>
      <c r="I16" s="59" t="inlineStr">
        <is>
          <t>TBD</t>
        </is>
      </c>
      <c r="J16" s="59" t="inlineStr">
        <is>
          <t>—</t>
        </is>
      </c>
      <c r="K16" s="53" t="inlineStr">
        <is>
          <t>AutoCAD DWG + Reference Image</t>
        </is>
      </c>
      <c r="L16" s="54" t="inlineStr">
        <is>
          <t>Design only; no formal bid</t>
        </is>
      </c>
      <c r="M16" s="45" t="n"/>
      <c r="N16" s="45" t="n"/>
    </row>
    <row r="17" ht="36" customHeight="1">
      <c r="A17" s="35" t="n">
        <v>15</v>
      </c>
      <c r="B17" s="36" t="inlineStr">
        <is>
          <t>BSBT</t>
        </is>
      </c>
      <c r="C17" s="37" t="inlineStr">
        <is>
          <t>Baguio City</t>
        </is>
      </c>
      <c r="D17" s="37" t="inlineStr">
        <is>
          <t>Kitchen &amp; Bar Setup</t>
        </is>
      </c>
      <c r="E17" s="38" t="inlineStr">
        <is>
          <t>Kitchen &amp; Bar Fabrication (MOA Signed)</t>
        </is>
      </c>
      <c r="F17" s="39" t="n">
        <v>2025</v>
      </c>
      <c r="G17" s="55" t="inlineStr">
        <is>
          <t>Active / Pending</t>
        </is>
      </c>
      <c r="H17" s="55" t="inlineStr">
        <is>
          <t>Pending</t>
        </is>
      </c>
      <c r="I17" s="58" t="inlineStr">
        <is>
          <t>TBD</t>
        </is>
      </c>
      <c r="J17" s="58" t="inlineStr">
        <is>
          <t>—</t>
        </is>
      </c>
      <c r="K17" s="43" t="inlineStr">
        <is>
          <t>MOA, Kitchen Plans, AutoCAD DWG, Design Files</t>
        </is>
      </c>
      <c r="L17" s="44" t="inlineStr">
        <is>
          <t>MOA signed; negotiated project, not PhilGEPS</t>
        </is>
      </c>
      <c r="M17" s="45" t="n"/>
      <c r="N17" s="45" t="n"/>
    </row>
    <row r="18" ht="36" customHeight="1">
      <c r="A18" s="46" t="n">
        <v>16</v>
      </c>
      <c r="B18" s="47" t="inlineStr">
        <is>
          <t>Ridgewood Hotel</t>
        </is>
      </c>
      <c r="C18" s="48" t="inlineStr">
        <is>
          <t>Baguio City</t>
        </is>
      </c>
      <c r="D18" s="48" t="inlineStr">
        <is>
          <t>Kitchen Equipment</t>
        </is>
      </c>
      <c r="E18" s="49" t="inlineStr">
        <is>
          <t>Kitchen Equipment Supply + Preventive Maintenance</t>
        </is>
      </c>
      <c r="F18" s="50" t="n">
        <v>2025</v>
      </c>
      <c r="G18" s="55" t="inlineStr">
        <is>
          <t>Active / Pending</t>
        </is>
      </c>
      <c r="H18" s="55" t="inlineStr">
        <is>
          <t>Pending</t>
        </is>
      </c>
      <c r="I18" s="51" t="n">
        <v>313900</v>
      </c>
      <c r="J18" s="52" t="n">
        <v>313900</v>
      </c>
      <c r="K18" s="53" t="inlineStr">
        <is>
          <t>Multiple Quotations, Job Order (Final), PM Contract</t>
        </is>
      </c>
      <c r="L18" s="54" t="inlineStr">
        <is>
          <t>Repeat client; PM contract active ₱24,000/yr</t>
        </is>
      </c>
      <c r="M18" s="45" t="n"/>
      <c r="N18" s="45" t="n"/>
    </row>
    <row r="19" ht="36" customHeight="1">
      <c r="A19" s="35" t="n">
        <v>17</v>
      </c>
      <c r="B19" s="36" t="inlineStr">
        <is>
          <t>Chimichanga Restaurant</t>
        </is>
      </c>
      <c r="C19" s="37" t="inlineStr">
        <is>
          <t>Baguio City</t>
        </is>
      </c>
      <c r="D19" s="37" t="inlineStr">
        <is>
          <t>Kitchen Equipment</t>
        </is>
      </c>
      <c r="E19" s="38" t="inlineStr">
        <is>
          <t>Fabrication of Kitchen Equipment</t>
        </is>
      </c>
      <c r="F19" s="39" t="n">
        <v>2025</v>
      </c>
      <c r="G19" s="56" t="inlineStr">
        <is>
          <t>Prospective</t>
        </is>
      </c>
      <c r="H19" s="57" t="inlineStr">
        <is>
          <t>N/A</t>
        </is>
      </c>
      <c r="I19" s="41" t="n">
        <v>754600</v>
      </c>
      <c r="J19" s="42" t="n">
        <v>754600</v>
      </c>
      <c r="K19" s="43" t="inlineStr">
        <is>
          <t>Quotation (DOCX + PDF, with/without price versions)</t>
        </is>
      </c>
      <c r="L19" s="44" t="inlineStr">
        <is>
          <t>Private sector; large kitchen setup quotation</t>
        </is>
      </c>
      <c r="M19" s="45" t="n"/>
      <c r="N19" s="45" t="n"/>
    </row>
    <row r="20" ht="36" customHeight="1">
      <c r="A20" s="46" t="n">
        <v>18</v>
      </c>
      <c r="B20" s="47" t="inlineStr">
        <is>
          <t>Jackie Red Ausa</t>
        </is>
      </c>
      <c r="C20" s="48" t="inlineStr">
        <is>
          <t>Itogon, Benguet</t>
        </is>
      </c>
      <c r="D20" s="48" t="inlineStr">
        <is>
          <t>Kitchen Setup</t>
        </is>
      </c>
      <c r="E20" s="49" t="inlineStr">
        <is>
          <t>Fabrication, Supply &amp; Installation of Full Kitchen Setup</t>
        </is>
      </c>
      <c r="F20" s="50" t="n">
        <v>2025</v>
      </c>
      <c r="G20" s="56" t="inlineStr">
        <is>
          <t>Prospective</t>
        </is>
      </c>
      <c r="H20" s="57" t="inlineStr">
        <is>
          <t>N/A</t>
        </is>
      </c>
      <c r="I20" s="51" t="n">
        <v>1246900</v>
      </c>
      <c r="J20" s="52" t="n">
        <v>1246900</v>
      </c>
      <c r="K20" s="53" t="inlineStr">
        <is>
          <t>Price Quotation (DOCX, PDF)</t>
        </is>
      </c>
      <c r="L20" s="54" t="inlineStr">
        <is>
          <t>Full kitchen fabrication quotation</t>
        </is>
      </c>
      <c r="M20" s="45" t="n"/>
      <c r="N20" s="45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6" customWidth="1" min="3" max="3"/>
    <col width="16" customWidth="1" min="4" max="4"/>
    <col width="22" customWidth="1" min="5" max="5"/>
    <col width="22" customWidth="1" min="6" max="6"/>
  </cols>
  <sheetData>
    <row r="1" ht="36" customHeight="1">
      <c r="A1" s="34" t="inlineStr">
        <is>
          <t>PHILGEPS BIDDING DOCUMENT CHECKLIST</t>
        </is>
      </c>
    </row>
    <row r="2" ht="20" customHeight="1">
      <c r="A2" s="2" t="inlineStr">
        <is>
          <t>Reference: RA 9184 / GPPB Guidelines  |  Mark status per active bid</t>
        </is>
      </c>
    </row>
    <row r="3" ht="24" customHeight="1">
      <c r="B3" s="6" t="inlineStr">
        <is>
          <t>ITEM #</t>
        </is>
      </c>
      <c r="C3" s="6" t="inlineStr">
        <is>
          <t>DOCUMENT REQUIRED</t>
        </is>
      </c>
      <c r="D3" s="6" t="inlineStr">
        <is>
          <t>STATUS</t>
        </is>
      </c>
      <c r="E3" s="6" t="inlineStr">
        <is>
          <t>DATE SUBMITTED / PREPARED</t>
        </is>
      </c>
      <c r="F3" s="6" t="inlineStr">
        <is>
          <t>REMARKS</t>
        </is>
      </c>
    </row>
    <row r="4" ht="22" customHeight="1">
      <c r="B4" s="46" t="inlineStr">
        <is>
          <t>1</t>
        </is>
      </c>
      <c r="C4" s="48" t="inlineStr">
        <is>
          <t>Letter of Intent (LOI)</t>
        </is>
      </c>
      <c r="D4" s="60" t="inlineStr">
        <is>
          <t>☐ On File  ☐ Needed  ☐ N/A</t>
        </is>
      </c>
      <c r="E4" s="45" t="n"/>
      <c r="F4" s="61" t="n"/>
    </row>
    <row r="5" ht="22" customHeight="1">
      <c r="B5" s="24" t="inlineStr">
        <is>
          <t>2</t>
        </is>
      </c>
      <c r="C5" s="27" t="inlineStr">
        <is>
          <t>PhilGEPS Registration Certificate</t>
        </is>
      </c>
      <c r="D5" s="60" t="inlineStr">
        <is>
          <t>☐ On File  ☐ Needed  ☐ N/A</t>
        </is>
      </c>
      <c r="E5" s="45" t="n"/>
      <c r="F5" s="61" t="n"/>
    </row>
    <row r="6" ht="22" customHeight="1">
      <c r="B6" s="46" t="inlineStr">
        <is>
          <t>3</t>
        </is>
      </c>
      <c r="C6" s="48" t="inlineStr">
        <is>
          <t>Mayor's / Business Permit</t>
        </is>
      </c>
      <c r="D6" s="60" t="inlineStr">
        <is>
          <t>☐ On File  ☐ Needed  ☐ N/A</t>
        </is>
      </c>
      <c r="E6" s="45" t="n"/>
      <c r="F6" s="61" t="n"/>
    </row>
    <row r="7" ht="22" customHeight="1">
      <c r="B7" s="24" t="inlineStr">
        <is>
          <t>4</t>
        </is>
      </c>
      <c r="C7" s="27" t="inlineStr">
        <is>
          <t>Tax Clearance Certificate (BIR)</t>
        </is>
      </c>
      <c r="D7" s="60" t="inlineStr">
        <is>
          <t>☐ On File  ☐ Needed  ☐ N/A</t>
        </is>
      </c>
      <c r="E7" s="45" t="n"/>
      <c r="F7" s="61" t="n"/>
    </row>
    <row r="8" ht="22" customHeight="1">
      <c r="B8" s="46" t="inlineStr">
        <is>
          <t>5</t>
        </is>
      </c>
      <c r="C8" s="48" t="inlineStr">
        <is>
          <t>Income / Business Tax Return</t>
        </is>
      </c>
      <c r="D8" s="60" t="inlineStr">
        <is>
          <t>☐ On File  ☐ Needed  ☐ N/A</t>
        </is>
      </c>
      <c r="E8" s="45" t="n"/>
      <c r="F8" s="61" t="n"/>
    </row>
    <row r="9" ht="22" customHeight="1">
      <c r="B9" s="24" t="inlineStr">
        <is>
          <t>6</t>
        </is>
      </c>
      <c r="C9" s="27" t="inlineStr">
        <is>
          <t>Audited Financial Statements (latest year)</t>
        </is>
      </c>
      <c r="D9" s="60" t="inlineStr">
        <is>
          <t>☐ On File  ☐ Needed  ☐ N/A</t>
        </is>
      </c>
      <c r="E9" s="45" t="n"/>
      <c r="F9" s="61" t="n"/>
    </row>
    <row r="10" ht="22" customHeight="1">
      <c r="B10" s="46" t="inlineStr">
        <is>
          <t>7</t>
        </is>
      </c>
      <c r="C10" s="48" t="inlineStr">
        <is>
          <t>PCAB License (if works contract)</t>
        </is>
      </c>
      <c r="D10" s="60" t="inlineStr">
        <is>
          <t>☐ On File  ☐ Needed  ☐ N/A</t>
        </is>
      </c>
      <c r="E10" s="45" t="n"/>
      <c r="F10" s="61" t="n"/>
    </row>
    <row r="11" ht="22" customHeight="1">
      <c r="B11" s="24" t="inlineStr">
        <is>
          <t>8</t>
        </is>
      </c>
      <c r="C11" s="27" t="inlineStr">
        <is>
          <t>Omnibus Sworn Statement</t>
        </is>
      </c>
      <c r="D11" s="60" t="inlineStr">
        <is>
          <t>☐ On File  ☐ Needed  ☐ N/A</t>
        </is>
      </c>
      <c r="E11" s="45" t="n"/>
      <c r="F11" s="61" t="n"/>
    </row>
    <row r="12" ht="22" customHeight="1">
      <c r="B12" s="46" t="inlineStr">
        <is>
          <t>9</t>
        </is>
      </c>
      <c r="C12" s="48" t="inlineStr">
        <is>
          <t>Technical Specifications / Brochures</t>
        </is>
      </c>
      <c r="D12" s="60" t="inlineStr">
        <is>
          <t>☐ On File  ☐ Needed  ☐ N/A</t>
        </is>
      </c>
      <c r="E12" s="45" t="n"/>
      <c r="F12" s="61" t="n"/>
    </row>
    <row r="13" ht="22" customHeight="1">
      <c r="B13" s="24" t="inlineStr">
        <is>
          <t>10</t>
        </is>
      </c>
      <c r="C13" s="27" t="inlineStr">
        <is>
          <t>Statement of All Ongoing Government Contracts</t>
        </is>
      </c>
      <c r="D13" s="60" t="inlineStr">
        <is>
          <t>☐ On File  ☐ Needed  ☐ N/A</t>
        </is>
      </c>
      <c r="E13" s="45" t="n"/>
      <c r="F13" s="61" t="n"/>
    </row>
    <row r="14" ht="22" customHeight="1">
      <c r="B14" s="46" t="inlineStr">
        <is>
          <t>11</t>
        </is>
      </c>
      <c r="C14" s="48" t="inlineStr">
        <is>
          <t>Certificate of Completed Similar Contracts</t>
        </is>
      </c>
      <c r="D14" s="60" t="inlineStr">
        <is>
          <t>☐ On File  ☐ Needed  ☐ N/A</t>
        </is>
      </c>
      <c r="E14" s="45" t="n"/>
      <c r="F14" s="61" t="n"/>
    </row>
    <row r="15" ht="22" customHeight="1">
      <c r="B15" s="24" t="inlineStr">
        <is>
          <t>12</t>
        </is>
      </c>
      <c r="C15" s="27" t="inlineStr">
        <is>
          <t>Net Financial Contracting Capacity (NFCC)</t>
        </is>
      </c>
      <c r="D15" s="60" t="inlineStr">
        <is>
          <t>☐ On File  ☐ Needed  ☐ N/A</t>
        </is>
      </c>
      <c r="E15" s="45" t="n"/>
      <c r="F15" s="61" t="n"/>
    </row>
    <row r="16" ht="22" customHeight="1">
      <c r="B16" s="46" t="inlineStr">
        <is>
          <t>13</t>
        </is>
      </c>
      <c r="C16" s="48" t="inlineStr">
        <is>
          <t>Bid Security (Surety Bond / Cash Bond)</t>
        </is>
      </c>
      <c r="D16" s="60" t="inlineStr">
        <is>
          <t>☐ On File  ☐ Needed  ☐ N/A</t>
        </is>
      </c>
      <c r="E16" s="45" t="n"/>
      <c r="F16" s="61" t="n"/>
    </row>
    <row r="17" ht="22" customHeight="1">
      <c r="B17" s="24" t="inlineStr">
        <is>
          <t>14</t>
        </is>
      </c>
      <c r="C17" s="27" t="inlineStr">
        <is>
          <t>Performance Security (upon award)</t>
        </is>
      </c>
      <c r="D17" s="60" t="inlineStr">
        <is>
          <t>☐ On File  ☐ Needed  ☐ N/A</t>
        </is>
      </c>
      <c r="E17" s="45" t="n"/>
      <c r="F17" s="61" t="n"/>
    </row>
    <row r="18" ht="22" customHeight="1">
      <c r="B18" s="46" t="inlineStr">
        <is>
          <t>15</t>
        </is>
      </c>
      <c r="C18" s="48" t="inlineStr">
        <is>
          <t>Notarized Authorization (if not owner signs)</t>
        </is>
      </c>
      <c r="D18" s="60" t="inlineStr">
        <is>
          <t>☐ On File  ☐ Needed  ☐ N/A</t>
        </is>
      </c>
      <c r="E18" s="45" t="n"/>
      <c r="F18" s="61" t="n"/>
    </row>
    <row r="19" ht="22" customHeight="1">
      <c r="B19" s="24" t="inlineStr">
        <is>
          <t>16</t>
        </is>
      </c>
      <c r="C19" s="27" t="inlineStr">
        <is>
          <t>Project References / Portfolio</t>
        </is>
      </c>
      <c r="D19" s="60" t="inlineStr">
        <is>
          <t>☐ On File  ☐ Needed  ☐ N/A</t>
        </is>
      </c>
      <c r="E19" s="45" t="n"/>
      <c r="F19" s="61" t="n"/>
    </row>
    <row r="20" ht="22" customHeight="1">
      <c r="B20" s="46" t="inlineStr">
        <is>
          <t>17</t>
        </is>
      </c>
      <c r="C20" s="48" t="inlineStr">
        <is>
          <t>Signed Bid Form</t>
        </is>
      </c>
      <c r="D20" s="60" t="inlineStr">
        <is>
          <t>☐ On File  ☐ Needed  ☐ N/A</t>
        </is>
      </c>
      <c r="E20" s="45" t="n"/>
      <c r="F20" s="61" t="n"/>
    </row>
    <row r="21" ht="22" customHeight="1">
      <c r="B21" s="24" t="inlineStr">
        <is>
          <t>18</t>
        </is>
      </c>
      <c r="C21" s="27" t="inlineStr">
        <is>
          <t>Price / Bill of Quantities</t>
        </is>
      </c>
      <c r="D21" s="60" t="inlineStr">
        <is>
          <t>☐ On File  ☐ Needed  ☐ N/A</t>
        </is>
      </c>
      <c r="E21" s="45" t="n"/>
      <c r="F21" s="61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2026-06-16T01:31:28Z</dcterms:created>
  <dcterms:modified xmlns:dcterms="http://purl.org/dc/terms/" xmlns:xsi="http://www.w3.org/2001/XMLSchema-instance" xsi:type="dcterms:W3CDTF">2026-06-16T01:31:28Z</dcterms:modified>
</cp:coreProperties>
</file>